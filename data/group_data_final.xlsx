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racorpth-my.sharepoint.com/personal/inthat_l_infra-corp_co/Documents/rmms/WL/webapp/workload_webapp/data/"/>
    </mc:Choice>
  </mc:AlternateContent>
  <xr:revisionPtr revIDLastSave="0" documentId="8_{21ACC0D1-E520-4769-8E42-7F4F5CC34E5E}" xr6:coauthVersionLast="47" xr6:coauthVersionMax="47" xr10:uidLastSave="{00000000-0000-0000-0000-000000000000}"/>
  <bookViews>
    <workbookView xWindow="28680" yWindow="-120" windowWidth="29040" windowHeight="15720" xr2:uid="{06DD2867-C549-4802-9494-1CB8AE5F8E10}"/>
  </bookViews>
  <sheets>
    <sheet name="group_data_final" sheetId="2" r:id="rId1"/>
    <sheet name="ASSET" sheetId="9" r:id="rId2"/>
    <sheet name="ราคาแผนงานตัดหญ้า" sheetId="14" r:id="rId3"/>
    <sheet name="แผน68" sheetId="13" r:id="rId4"/>
    <sheet name="ราคาค่าบำรุง" sheetId="12" r:id="rId5"/>
    <sheet name="ระยะทาง" sheetId="11" r:id="rId6"/>
    <sheet name="input" sheetId="1" r:id="rId7"/>
    <sheet name="ปริมาณน้ำฝน" sheetId="7" r:id="rId8"/>
    <sheet name="ราคาต้นทุน (Asset)" sheetId="3" r:id="rId9"/>
  </sheets>
  <definedNames>
    <definedName name="ExternalData_1" localSheetId="0" hidden="1">group_data_final!$A$1:$AC$105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4" l="1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2" i="14"/>
  <c r="AM58" i="2"/>
  <c r="AM59" i="2"/>
  <c r="AM63" i="2"/>
  <c r="AM66" i="2"/>
  <c r="AM69" i="2"/>
  <c r="AM24" i="2"/>
  <c r="AM71" i="2"/>
  <c r="AM72" i="2"/>
  <c r="AM73" i="2"/>
  <c r="AM74" i="2"/>
  <c r="AM65" i="2"/>
  <c r="AM62" i="2"/>
  <c r="AM11" i="2"/>
  <c r="AM25" i="2"/>
  <c r="AM46" i="2"/>
  <c r="AM105" i="2"/>
  <c r="AM56" i="2"/>
  <c r="AM84" i="2"/>
  <c r="AM89" i="2"/>
  <c r="AM90" i="2"/>
  <c r="AM35" i="2"/>
  <c r="AM33" i="2"/>
  <c r="AM34" i="2"/>
  <c r="AM38" i="2"/>
  <c r="AM48" i="2"/>
  <c r="AM88" i="2"/>
  <c r="AM19" i="2"/>
  <c r="AM10" i="2"/>
  <c r="AM36" i="2"/>
  <c r="AM52" i="2"/>
  <c r="AM54" i="2"/>
  <c r="AM32" i="2"/>
  <c r="AM27" i="2"/>
  <c r="AM22" i="2"/>
  <c r="AM103" i="2"/>
  <c r="AM77" i="2"/>
  <c r="AM78" i="2"/>
  <c r="AM79" i="2"/>
  <c r="AM9" i="2"/>
  <c r="AM14" i="2"/>
  <c r="AM43" i="2"/>
  <c r="AM44" i="2"/>
  <c r="AM31" i="2"/>
  <c r="AM6" i="2"/>
  <c r="AM68" i="2"/>
  <c r="AM70" i="2"/>
  <c r="AM102" i="2"/>
  <c r="AM81" i="2"/>
  <c r="AM29" i="2"/>
  <c r="AM20" i="2"/>
  <c r="AM82" i="2"/>
  <c r="AM4" i="2"/>
  <c r="AM67" i="2"/>
  <c r="AM15" i="2"/>
  <c r="AM5" i="2"/>
  <c r="AM57" i="2"/>
  <c r="AM51" i="2"/>
  <c r="AM55" i="2"/>
  <c r="AM12" i="2"/>
  <c r="AM85" i="2"/>
  <c r="AM99" i="2"/>
  <c r="AM94" i="2"/>
  <c r="AM3" i="2"/>
  <c r="AM96" i="2"/>
  <c r="AM18" i="2"/>
  <c r="AM37" i="2"/>
  <c r="AM21" i="2"/>
  <c r="AM39" i="2"/>
  <c r="AM42" i="2"/>
  <c r="AM60" i="2"/>
  <c r="AM64" i="2"/>
  <c r="AM61" i="2"/>
  <c r="AM98" i="2"/>
  <c r="AM97" i="2"/>
  <c r="AM100" i="2"/>
  <c r="AM101" i="2"/>
  <c r="AM2" i="2"/>
  <c r="AM8" i="2"/>
  <c r="AM7" i="2"/>
  <c r="AM30" i="2"/>
  <c r="AM23" i="2"/>
  <c r="AM28" i="2"/>
  <c r="AM83" i="2"/>
  <c r="AM40" i="2"/>
  <c r="AM41" i="2"/>
  <c r="AM53" i="2"/>
  <c r="AM45" i="2"/>
  <c r="AM47" i="2"/>
  <c r="AM13" i="2"/>
  <c r="AM16" i="2"/>
  <c r="AM17" i="2"/>
  <c r="AM80" i="2"/>
  <c r="AM104" i="2"/>
  <c r="AM91" i="2"/>
  <c r="AM26" i="2"/>
  <c r="AM50" i="2"/>
  <c r="AM95" i="2"/>
  <c r="AM86" i="2"/>
  <c r="AM87" i="2"/>
  <c r="AM75" i="2"/>
  <c r="AM76" i="2"/>
  <c r="AM49" i="2"/>
  <c r="AM92" i="2"/>
  <c r="AM93" i="2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2" i="13"/>
  <c r="AK3" i="2" a="1"/>
  <c r="AJ3" i="2" s="1"/>
  <c r="AK4" i="2" a="1"/>
  <c r="AJ4" i="2" s="1"/>
  <c r="AK5" i="2" a="1"/>
  <c r="AJ5" i="2" s="1"/>
  <c r="AK6" i="2" a="1"/>
  <c r="AJ6" i="2" s="1"/>
  <c r="AK7" i="2" a="1"/>
  <c r="AJ7" i="2" s="1"/>
  <c r="AK8" i="2" a="1"/>
  <c r="AJ8" i="2" s="1"/>
  <c r="AK9" i="2" a="1"/>
  <c r="AJ9" i="2" s="1"/>
  <c r="AK10" i="2" a="1"/>
  <c r="AJ10" i="2" s="1"/>
  <c r="AK11" i="2" a="1"/>
  <c r="AJ11" i="2" s="1"/>
  <c r="AK12" i="2" a="1"/>
  <c r="AJ12" i="2" s="1"/>
  <c r="AK13" i="2" a="1"/>
  <c r="AJ13" i="2" s="1"/>
  <c r="AK14" i="2" a="1"/>
  <c r="AJ14" i="2" s="1"/>
  <c r="AK15" i="2" a="1"/>
  <c r="AJ15" i="2" s="1"/>
  <c r="AK16" i="2" a="1"/>
  <c r="AJ16" i="2" s="1"/>
  <c r="AK17" i="2" a="1"/>
  <c r="AJ17" i="2" s="1"/>
  <c r="AK18" i="2" a="1"/>
  <c r="AJ18" i="2" s="1"/>
  <c r="AK19" i="2" a="1"/>
  <c r="AJ19" i="2" s="1"/>
  <c r="AK20" i="2" a="1"/>
  <c r="AJ20" i="2" s="1"/>
  <c r="AK21" i="2" a="1"/>
  <c r="AJ21" i="2" s="1"/>
  <c r="AK22" i="2" a="1"/>
  <c r="AJ22" i="2" s="1"/>
  <c r="AK23" i="2" a="1"/>
  <c r="AJ23" i="2" s="1"/>
  <c r="AK24" i="2" a="1"/>
  <c r="AJ24" i="2" s="1"/>
  <c r="AK25" i="2" a="1"/>
  <c r="AJ25" i="2" s="1"/>
  <c r="AK26" i="2" a="1"/>
  <c r="AJ26" i="2" s="1"/>
  <c r="AK27" i="2" a="1"/>
  <c r="AJ27" i="2" s="1"/>
  <c r="AK28" i="2" a="1"/>
  <c r="AJ28" i="2" s="1"/>
  <c r="AK29" i="2" a="1"/>
  <c r="AJ29" i="2" s="1"/>
  <c r="AK30" i="2" a="1"/>
  <c r="AJ30" i="2" s="1"/>
  <c r="AK31" i="2" a="1"/>
  <c r="AJ31" i="2" s="1"/>
  <c r="AK32" i="2" a="1"/>
  <c r="AJ32" i="2" s="1"/>
  <c r="AK33" i="2" a="1"/>
  <c r="AJ33" i="2" s="1"/>
  <c r="AK34" i="2" a="1"/>
  <c r="AJ34" i="2" s="1"/>
  <c r="AK35" i="2" a="1"/>
  <c r="AJ35" i="2" s="1"/>
  <c r="AK36" i="2" a="1"/>
  <c r="AJ36" i="2" s="1"/>
  <c r="AK37" i="2" a="1"/>
  <c r="AJ37" i="2" s="1"/>
  <c r="AK38" i="2" a="1"/>
  <c r="AJ38" i="2" s="1"/>
  <c r="AK39" i="2" a="1"/>
  <c r="AJ39" i="2" s="1"/>
  <c r="AK40" i="2" a="1"/>
  <c r="AJ40" i="2" s="1"/>
  <c r="AK41" i="2" a="1"/>
  <c r="AJ41" i="2" s="1"/>
  <c r="AK42" i="2" a="1"/>
  <c r="AJ42" i="2" s="1"/>
  <c r="AK43" i="2" a="1"/>
  <c r="AJ43" i="2" s="1"/>
  <c r="AK44" i="2" a="1"/>
  <c r="AJ44" i="2" s="1"/>
  <c r="AK45" i="2" a="1"/>
  <c r="AJ45" i="2" s="1"/>
  <c r="AK46" i="2" a="1"/>
  <c r="AJ46" i="2" s="1"/>
  <c r="AK47" i="2" a="1"/>
  <c r="AJ47" i="2" s="1"/>
  <c r="AK48" i="2" a="1"/>
  <c r="AJ48" i="2" s="1"/>
  <c r="AK49" i="2" a="1"/>
  <c r="AJ49" i="2" s="1"/>
  <c r="AK50" i="2" a="1"/>
  <c r="AJ50" i="2" s="1"/>
  <c r="AK51" i="2" a="1"/>
  <c r="AJ51" i="2" s="1"/>
  <c r="AK52" i="2" a="1"/>
  <c r="AJ52" i="2" s="1"/>
  <c r="AK53" i="2" a="1"/>
  <c r="AJ53" i="2" s="1"/>
  <c r="AK54" i="2" a="1"/>
  <c r="AJ54" i="2" s="1"/>
  <c r="AK55" i="2" a="1"/>
  <c r="AJ55" i="2" s="1"/>
  <c r="AK56" i="2" a="1"/>
  <c r="AJ56" i="2" s="1"/>
  <c r="AK57" i="2" a="1"/>
  <c r="AJ57" i="2" s="1"/>
  <c r="AK58" i="2" a="1"/>
  <c r="AJ58" i="2" s="1"/>
  <c r="AK59" i="2" a="1"/>
  <c r="AJ59" i="2" s="1"/>
  <c r="AK60" i="2" a="1"/>
  <c r="AJ60" i="2" s="1"/>
  <c r="AK61" i="2" a="1"/>
  <c r="AJ61" i="2" s="1"/>
  <c r="AK62" i="2" a="1"/>
  <c r="AJ62" i="2" s="1"/>
  <c r="AK63" i="2" a="1"/>
  <c r="AJ63" i="2" s="1"/>
  <c r="AK64" i="2" a="1"/>
  <c r="AJ64" i="2" s="1"/>
  <c r="AK65" i="2" a="1"/>
  <c r="AJ65" i="2" s="1"/>
  <c r="AK66" i="2" a="1"/>
  <c r="AJ66" i="2" s="1"/>
  <c r="AK67" i="2" a="1"/>
  <c r="AJ67" i="2" s="1"/>
  <c r="AK68" i="2" a="1"/>
  <c r="AJ68" i="2" s="1"/>
  <c r="AK69" i="2" a="1"/>
  <c r="AJ69" i="2" s="1"/>
  <c r="AK70" i="2" a="1"/>
  <c r="AJ70" i="2" s="1"/>
  <c r="AK71" i="2" a="1"/>
  <c r="AJ71" i="2" s="1"/>
  <c r="AK72" i="2" a="1"/>
  <c r="AJ72" i="2" s="1"/>
  <c r="AK73" i="2" a="1"/>
  <c r="AJ73" i="2" s="1"/>
  <c r="AK74" i="2" a="1"/>
  <c r="AJ74" i="2" s="1"/>
  <c r="AK75" i="2" a="1"/>
  <c r="AJ75" i="2" s="1"/>
  <c r="AK76" i="2" a="1"/>
  <c r="AJ76" i="2" s="1"/>
  <c r="AK77" i="2" a="1"/>
  <c r="AJ77" i="2" s="1"/>
  <c r="AK78" i="2" a="1"/>
  <c r="AJ78" i="2" s="1"/>
  <c r="AK79" i="2" a="1"/>
  <c r="AJ79" i="2" s="1"/>
  <c r="AK80" i="2" a="1"/>
  <c r="AJ80" i="2" s="1"/>
  <c r="AK81" i="2" a="1"/>
  <c r="AJ81" i="2" s="1"/>
  <c r="AK82" i="2" a="1"/>
  <c r="AJ82" i="2" s="1"/>
  <c r="AK83" i="2" a="1"/>
  <c r="AJ83" i="2" s="1"/>
  <c r="AK84" i="2" a="1"/>
  <c r="AJ84" i="2" s="1"/>
  <c r="AK85" i="2" a="1"/>
  <c r="AJ85" i="2" s="1"/>
  <c r="AK86" i="2" a="1"/>
  <c r="AJ86" i="2" s="1"/>
  <c r="AK87" i="2" a="1"/>
  <c r="AJ87" i="2" s="1"/>
  <c r="AK88" i="2" a="1"/>
  <c r="AJ88" i="2" s="1"/>
  <c r="AK89" i="2" a="1"/>
  <c r="AJ89" i="2" s="1"/>
  <c r="AK90" i="2" a="1"/>
  <c r="AJ90" i="2" s="1"/>
  <c r="AK91" i="2" a="1"/>
  <c r="AJ91" i="2" s="1"/>
  <c r="AK92" i="2" a="1"/>
  <c r="AJ92" i="2" s="1"/>
  <c r="AK93" i="2" a="1"/>
  <c r="AJ93" i="2" s="1"/>
  <c r="AK94" i="2" a="1"/>
  <c r="AJ94" i="2" s="1"/>
  <c r="AK95" i="2" a="1"/>
  <c r="AJ95" i="2" s="1"/>
  <c r="AK96" i="2" a="1"/>
  <c r="AJ96" i="2" s="1"/>
  <c r="AK97" i="2" a="1"/>
  <c r="AJ97" i="2" s="1"/>
  <c r="AK98" i="2" a="1"/>
  <c r="AJ98" i="2" s="1"/>
  <c r="AK99" i="2" a="1"/>
  <c r="AJ99" i="2" s="1"/>
  <c r="AK100" i="2" a="1"/>
  <c r="AJ100" i="2" s="1"/>
  <c r="AK101" i="2" a="1"/>
  <c r="AJ101" i="2" s="1"/>
  <c r="AK102" i="2" a="1"/>
  <c r="AJ102" i="2" s="1"/>
  <c r="AK103" i="2" a="1"/>
  <c r="AJ103" i="2" s="1"/>
  <c r="AK104" i="2" a="1"/>
  <c r="AJ104" i="2" s="1"/>
  <c r="AK105" i="2" a="1"/>
  <c r="AJ105" i="2" s="1"/>
  <c r="AK2" i="2" a="1"/>
  <c r="AJ2" i="2" s="1"/>
  <c r="AI3" i="2" a="1"/>
  <c r="AH3" i="2" s="1"/>
  <c r="AI4" i="2" a="1"/>
  <c r="AH4" i="2" s="1"/>
  <c r="AI5" i="2" a="1"/>
  <c r="AH5" i="2" s="1"/>
  <c r="AI6" i="2" a="1"/>
  <c r="AH6" i="2" s="1"/>
  <c r="AI7" i="2" a="1"/>
  <c r="AH7" i="2" s="1"/>
  <c r="AI8" i="2" a="1"/>
  <c r="AH8" i="2" s="1"/>
  <c r="AI9" i="2" a="1"/>
  <c r="AH9" i="2" s="1"/>
  <c r="AI10" i="2" a="1"/>
  <c r="AH10" i="2" s="1"/>
  <c r="AI11" i="2" a="1"/>
  <c r="AH11" i="2" s="1"/>
  <c r="AI12" i="2" a="1"/>
  <c r="AH12" i="2" s="1"/>
  <c r="AI13" i="2" a="1"/>
  <c r="AH13" i="2" s="1"/>
  <c r="AI14" i="2" a="1"/>
  <c r="AH14" i="2" s="1"/>
  <c r="AI15" i="2" a="1"/>
  <c r="AH15" i="2" s="1"/>
  <c r="AI16" i="2" a="1"/>
  <c r="AH16" i="2" s="1"/>
  <c r="AI17" i="2" a="1"/>
  <c r="AH17" i="2" s="1"/>
  <c r="AI18" i="2" a="1"/>
  <c r="AH18" i="2" s="1"/>
  <c r="AI19" i="2" a="1"/>
  <c r="AH19" i="2" s="1"/>
  <c r="AI20" i="2" a="1"/>
  <c r="AH20" i="2" s="1"/>
  <c r="AI21" i="2" a="1"/>
  <c r="AH21" i="2" s="1"/>
  <c r="AI22" i="2" a="1"/>
  <c r="AH22" i="2" s="1"/>
  <c r="AI23" i="2" a="1"/>
  <c r="AH23" i="2" s="1"/>
  <c r="AI24" i="2" a="1"/>
  <c r="AH24" i="2" s="1"/>
  <c r="AI25" i="2" a="1"/>
  <c r="AH25" i="2" s="1"/>
  <c r="AI26" i="2" a="1"/>
  <c r="AH26" i="2" s="1"/>
  <c r="AI27" i="2" a="1"/>
  <c r="AH27" i="2" s="1"/>
  <c r="AI28" i="2" a="1"/>
  <c r="AH28" i="2" s="1"/>
  <c r="AI29" i="2" a="1"/>
  <c r="AH29" i="2" s="1"/>
  <c r="AI30" i="2" a="1"/>
  <c r="AH30" i="2" s="1"/>
  <c r="AI31" i="2" a="1"/>
  <c r="AH31" i="2" s="1"/>
  <c r="AI32" i="2" a="1"/>
  <c r="AH32" i="2" s="1"/>
  <c r="AI33" i="2" a="1"/>
  <c r="AH33" i="2" s="1"/>
  <c r="AI34" i="2" a="1"/>
  <c r="AH34" i="2" s="1"/>
  <c r="AI35" i="2" a="1"/>
  <c r="AH35" i="2" s="1"/>
  <c r="AI36" i="2" a="1"/>
  <c r="AH36" i="2" s="1"/>
  <c r="AI37" i="2" a="1"/>
  <c r="AH37" i="2" s="1"/>
  <c r="AI38" i="2" a="1"/>
  <c r="AH38" i="2" s="1"/>
  <c r="AI39" i="2" a="1"/>
  <c r="AH39" i="2" s="1"/>
  <c r="AI40" i="2" a="1"/>
  <c r="AH40" i="2" s="1"/>
  <c r="AI41" i="2" a="1"/>
  <c r="AH41" i="2" s="1"/>
  <c r="AI42" i="2" a="1"/>
  <c r="AH42" i="2" s="1"/>
  <c r="AI43" i="2" a="1"/>
  <c r="AH43" i="2" s="1"/>
  <c r="AI44" i="2" a="1"/>
  <c r="AH44" i="2" s="1"/>
  <c r="AI45" i="2" a="1"/>
  <c r="AH45" i="2" s="1"/>
  <c r="AI46" i="2" a="1"/>
  <c r="AH46" i="2" s="1"/>
  <c r="AI47" i="2" a="1"/>
  <c r="AH47" i="2" s="1"/>
  <c r="AI48" i="2" a="1"/>
  <c r="AH48" i="2" s="1"/>
  <c r="AI49" i="2" a="1"/>
  <c r="AH49" i="2" s="1"/>
  <c r="AI50" i="2" a="1"/>
  <c r="AH50" i="2" s="1"/>
  <c r="AI51" i="2" a="1"/>
  <c r="AH51" i="2" s="1"/>
  <c r="AI52" i="2" a="1"/>
  <c r="AH52" i="2" s="1"/>
  <c r="AI53" i="2" a="1"/>
  <c r="AH53" i="2" s="1"/>
  <c r="AI54" i="2" a="1"/>
  <c r="AH54" i="2" s="1"/>
  <c r="AI55" i="2" a="1"/>
  <c r="AH55" i="2" s="1"/>
  <c r="AI56" i="2" a="1"/>
  <c r="AH56" i="2" s="1"/>
  <c r="AI57" i="2" a="1"/>
  <c r="AH57" i="2" s="1"/>
  <c r="AI58" i="2" a="1"/>
  <c r="AH58" i="2" s="1"/>
  <c r="AI59" i="2" a="1"/>
  <c r="AH59" i="2" s="1"/>
  <c r="AI60" i="2" a="1"/>
  <c r="AH60" i="2" s="1"/>
  <c r="AI61" i="2" a="1"/>
  <c r="AH61" i="2" s="1"/>
  <c r="AI62" i="2" a="1"/>
  <c r="AH62" i="2" s="1"/>
  <c r="AI63" i="2" a="1"/>
  <c r="AH63" i="2" s="1"/>
  <c r="AI64" i="2" a="1"/>
  <c r="AH64" i="2" s="1"/>
  <c r="AI65" i="2" a="1"/>
  <c r="AH65" i="2" s="1"/>
  <c r="AI66" i="2" a="1"/>
  <c r="AH66" i="2" s="1"/>
  <c r="AI67" i="2" a="1"/>
  <c r="AH67" i="2" s="1"/>
  <c r="AI68" i="2" a="1"/>
  <c r="AH68" i="2" s="1"/>
  <c r="AI69" i="2" a="1"/>
  <c r="AH69" i="2" s="1"/>
  <c r="AI70" i="2" a="1"/>
  <c r="AH70" i="2" s="1"/>
  <c r="AI71" i="2" a="1"/>
  <c r="AH71" i="2" s="1"/>
  <c r="AI72" i="2" a="1"/>
  <c r="AH72" i="2" s="1"/>
  <c r="AI73" i="2" a="1"/>
  <c r="AH73" i="2" s="1"/>
  <c r="AI74" i="2" a="1"/>
  <c r="AH74" i="2" s="1"/>
  <c r="AI75" i="2" a="1"/>
  <c r="AH75" i="2" s="1"/>
  <c r="AI76" i="2" a="1"/>
  <c r="AH76" i="2" s="1"/>
  <c r="AI77" i="2" a="1"/>
  <c r="AH77" i="2" s="1"/>
  <c r="AI78" i="2" a="1"/>
  <c r="AH78" i="2" s="1"/>
  <c r="AI79" i="2" a="1"/>
  <c r="AH79" i="2" s="1"/>
  <c r="AI80" i="2" a="1"/>
  <c r="AH80" i="2" s="1"/>
  <c r="AI81" i="2" a="1"/>
  <c r="AH81" i="2" s="1"/>
  <c r="AI82" i="2" a="1"/>
  <c r="AH82" i="2" s="1"/>
  <c r="AI83" i="2" a="1"/>
  <c r="AH83" i="2" s="1"/>
  <c r="AI84" i="2" a="1"/>
  <c r="AH84" i="2" s="1"/>
  <c r="AI85" i="2" a="1"/>
  <c r="AH85" i="2" s="1"/>
  <c r="AI86" i="2" a="1"/>
  <c r="AH86" i="2" s="1"/>
  <c r="AI87" i="2" a="1"/>
  <c r="AH87" i="2" s="1"/>
  <c r="AI88" i="2" a="1"/>
  <c r="AH88" i="2" s="1"/>
  <c r="AI89" i="2" a="1"/>
  <c r="AH89" i="2" s="1"/>
  <c r="AI90" i="2" a="1"/>
  <c r="AH90" i="2" s="1"/>
  <c r="AI91" i="2" a="1"/>
  <c r="AH91" i="2" s="1"/>
  <c r="AI92" i="2" a="1"/>
  <c r="AH92" i="2" s="1"/>
  <c r="AI93" i="2" a="1"/>
  <c r="AH93" i="2" s="1"/>
  <c r="AI94" i="2" a="1"/>
  <c r="AH94" i="2" s="1"/>
  <c r="AI95" i="2" a="1"/>
  <c r="AH95" i="2" s="1"/>
  <c r="AI96" i="2" a="1"/>
  <c r="AH96" i="2" s="1"/>
  <c r="AI97" i="2" a="1"/>
  <c r="AH97" i="2" s="1"/>
  <c r="AI98" i="2" a="1"/>
  <c r="AH98" i="2" s="1"/>
  <c r="AI99" i="2" a="1"/>
  <c r="AH99" i="2" s="1"/>
  <c r="AI100" i="2" a="1"/>
  <c r="AH100" i="2" s="1"/>
  <c r="AI101" i="2" a="1"/>
  <c r="AH101" i="2" s="1"/>
  <c r="AI102" i="2" a="1"/>
  <c r="AH102" i="2" s="1"/>
  <c r="AI103" i="2" a="1"/>
  <c r="AH103" i="2" s="1"/>
  <c r="AI104" i="2" a="1"/>
  <c r="AH104" i="2" s="1"/>
  <c r="AI105" i="2" a="1"/>
  <c r="AH105" i="2" s="1"/>
  <c r="AI2" i="2" a="1"/>
  <c r="AH2" i="2" s="1"/>
  <c r="AG3" i="2" a="1"/>
  <c r="AF3" i="2" s="1"/>
  <c r="AG4" i="2" a="1"/>
  <c r="AF4" i="2" s="1"/>
  <c r="AG5" i="2" a="1"/>
  <c r="AF5" i="2" s="1"/>
  <c r="AG6" i="2" a="1"/>
  <c r="AF6" i="2" s="1"/>
  <c r="AG7" i="2" a="1"/>
  <c r="AF7" i="2" s="1"/>
  <c r="AG8" i="2" a="1"/>
  <c r="AF8" i="2" s="1"/>
  <c r="AG9" i="2" a="1"/>
  <c r="AF9" i="2" s="1"/>
  <c r="AG10" i="2" a="1"/>
  <c r="AF10" i="2" s="1"/>
  <c r="AG11" i="2" a="1"/>
  <c r="AF11" i="2" s="1"/>
  <c r="AG12" i="2" a="1"/>
  <c r="AF12" i="2" s="1"/>
  <c r="AG13" i="2" a="1"/>
  <c r="AF13" i="2" s="1"/>
  <c r="AG14" i="2" a="1"/>
  <c r="AF14" i="2" s="1"/>
  <c r="AG15" i="2" a="1"/>
  <c r="AF15" i="2" s="1"/>
  <c r="AG16" i="2" a="1"/>
  <c r="AF16" i="2" s="1"/>
  <c r="AG17" i="2" a="1"/>
  <c r="AF17" i="2" s="1"/>
  <c r="AG18" i="2" a="1"/>
  <c r="AF18" i="2" s="1"/>
  <c r="AG19" i="2" a="1"/>
  <c r="AF19" i="2" s="1"/>
  <c r="AG20" i="2" a="1"/>
  <c r="AF20" i="2" s="1"/>
  <c r="AG21" i="2" a="1"/>
  <c r="AF21" i="2" s="1"/>
  <c r="AG22" i="2" a="1"/>
  <c r="AF22" i="2" s="1"/>
  <c r="AG23" i="2" a="1"/>
  <c r="AF23" i="2" s="1"/>
  <c r="AG24" i="2" a="1"/>
  <c r="AF24" i="2" s="1"/>
  <c r="AG25" i="2" a="1"/>
  <c r="AF25" i="2" s="1"/>
  <c r="AG26" i="2" a="1"/>
  <c r="AF26" i="2" s="1"/>
  <c r="AG27" i="2" a="1"/>
  <c r="AF27" i="2" s="1"/>
  <c r="AG28" i="2" a="1"/>
  <c r="AF28" i="2" s="1"/>
  <c r="AG29" i="2" a="1"/>
  <c r="AF29" i="2" s="1"/>
  <c r="AG30" i="2" a="1"/>
  <c r="AF30" i="2" s="1"/>
  <c r="AG31" i="2" a="1"/>
  <c r="AF31" i="2" s="1"/>
  <c r="AG32" i="2" a="1"/>
  <c r="AF32" i="2" s="1"/>
  <c r="AG33" i="2" a="1"/>
  <c r="AF33" i="2" s="1"/>
  <c r="AG34" i="2" a="1"/>
  <c r="AF34" i="2" s="1"/>
  <c r="AG35" i="2" a="1"/>
  <c r="AF35" i="2" s="1"/>
  <c r="AG36" i="2" a="1"/>
  <c r="AF36" i="2" s="1"/>
  <c r="AG37" i="2" a="1"/>
  <c r="AF37" i="2" s="1"/>
  <c r="AG38" i="2" a="1"/>
  <c r="AF38" i="2" s="1"/>
  <c r="AG39" i="2" a="1"/>
  <c r="AF39" i="2" s="1"/>
  <c r="AG40" i="2" a="1"/>
  <c r="AF40" i="2" s="1"/>
  <c r="AG41" i="2" a="1"/>
  <c r="AF41" i="2" s="1"/>
  <c r="AG42" i="2" a="1"/>
  <c r="AF42" i="2" s="1"/>
  <c r="AG43" i="2" a="1"/>
  <c r="AF43" i="2" s="1"/>
  <c r="AG44" i="2" a="1"/>
  <c r="AF44" i="2" s="1"/>
  <c r="AG45" i="2" a="1"/>
  <c r="AF45" i="2" s="1"/>
  <c r="AG46" i="2" a="1"/>
  <c r="AF46" i="2" s="1"/>
  <c r="AG47" i="2" a="1"/>
  <c r="AF47" i="2" s="1"/>
  <c r="AG48" i="2" a="1"/>
  <c r="AF48" i="2" s="1"/>
  <c r="AG49" i="2" a="1"/>
  <c r="AF49" i="2" s="1"/>
  <c r="AG50" i="2" a="1"/>
  <c r="AF50" i="2" s="1"/>
  <c r="AG51" i="2" a="1"/>
  <c r="AF51" i="2" s="1"/>
  <c r="AG52" i="2" a="1"/>
  <c r="AF52" i="2" s="1"/>
  <c r="AG53" i="2" a="1"/>
  <c r="AF53" i="2" s="1"/>
  <c r="AG54" i="2" a="1"/>
  <c r="AF54" i="2" s="1"/>
  <c r="AG55" i="2" a="1"/>
  <c r="AF55" i="2" s="1"/>
  <c r="AG56" i="2" a="1"/>
  <c r="AF56" i="2" s="1"/>
  <c r="AG57" i="2" a="1"/>
  <c r="AF57" i="2" s="1"/>
  <c r="AG58" i="2" a="1"/>
  <c r="AF58" i="2" s="1"/>
  <c r="AG59" i="2" a="1"/>
  <c r="AF59" i="2" s="1"/>
  <c r="AG60" i="2" a="1"/>
  <c r="AF60" i="2" s="1"/>
  <c r="AG61" i="2" a="1"/>
  <c r="AF61" i="2" s="1"/>
  <c r="AG62" i="2" a="1"/>
  <c r="AF62" i="2" s="1"/>
  <c r="AG63" i="2" a="1"/>
  <c r="AF63" i="2" s="1"/>
  <c r="AG64" i="2" a="1"/>
  <c r="AF64" i="2" s="1"/>
  <c r="AG65" i="2" a="1"/>
  <c r="AF65" i="2" s="1"/>
  <c r="AG66" i="2" a="1"/>
  <c r="AF66" i="2" s="1"/>
  <c r="AG67" i="2" a="1"/>
  <c r="AF67" i="2" s="1"/>
  <c r="AG68" i="2" a="1"/>
  <c r="AF68" i="2" s="1"/>
  <c r="AG69" i="2" a="1"/>
  <c r="AF69" i="2" s="1"/>
  <c r="AG70" i="2" a="1"/>
  <c r="AF70" i="2" s="1"/>
  <c r="AG71" i="2" a="1"/>
  <c r="AF71" i="2" s="1"/>
  <c r="AG72" i="2" a="1"/>
  <c r="AF72" i="2" s="1"/>
  <c r="AG73" i="2" a="1"/>
  <c r="AF73" i="2" s="1"/>
  <c r="AG74" i="2" a="1"/>
  <c r="AF74" i="2" s="1"/>
  <c r="AG75" i="2" a="1"/>
  <c r="AF75" i="2" s="1"/>
  <c r="AG76" i="2" a="1"/>
  <c r="AF76" i="2" s="1"/>
  <c r="AG77" i="2" a="1"/>
  <c r="AF77" i="2" s="1"/>
  <c r="AG78" i="2" a="1"/>
  <c r="AF78" i="2" s="1"/>
  <c r="AG79" i="2" a="1"/>
  <c r="AF79" i="2" s="1"/>
  <c r="AG80" i="2" a="1"/>
  <c r="AF80" i="2" s="1"/>
  <c r="AG81" i="2" a="1"/>
  <c r="AF81" i="2" s="1"/>
  <c r="AG82" i="2" a="1"/>
  <c r="AF82" i="2" s="1"/>
  <c r="AG83" i="2" a="1"/>
  <c r="AF83" i="2" s="1"/>
  <c r="AG84" i="2" a="1"/>
  <c r="AF84" i="2" s="1"/>
  <c r="AG85" i="2" a="1"/>
  <c r="AF85" i="2" s="1"/>
  <c r="AG86" i="2" a="1"/>
  <c r="AF86" i="2" s="1"/>
  <c r="AG87" i="2" a="1"/>
  <c r="AF87" i="2" s="1"/>
  <c r="AG88" i="2" a="1"/>
  <c r="AF88" i="2" s="1"/>
  <c r="AG89" i="2" a="1"/>
  <c r="AF89" i="2" s="1"/>
  <c r="AG90" i="2" a="1"/>
  <c r="AF90" i="2" s="1"/>
  <c r="AG91" i="2" a="1"/>
  <c r="AF91" i="2" s="1"/>
  <c r="AG92" i="2" a="1"/>
  <c r="AF92" i="2" s="1"/>
  <c r="AG93" i="2" a="1"/>
  <c r="AF93" i="2" s="1"/>
  <c r="AG94" i="2" a="1"/>
  <c r="AF94" i="2" s="1"/>
  <c r="AG95" i="2" a="1"/>
  <c r="AF95" i="2" s="1"/>
  <c r="AG96" i="2" a="1"/>
  <c r="AF96" i="2" s="1"/>
  <c r="AG97" i="2" a="1"/>
  <c r="AF97" i="2" s="1"/>
  <c r="AG98" i="2" a="1"/>
  <c r="AF98" i="2" s="1"/>
  <c r="AG99" i="2" a="1"/>
  <c r="AF99" i="2" s="1"/>
  <c r="AG100" i="2" a="1"/>
  <c r="AF100" i="2" s="1"/>
  <c r="AG101" i="2" a="1"/>
  <c r="AF101" i="2" s="1"/>
  <c r="AG102" i="2" a="1"/>
  <c r="AF102" i="2" s="1"/>
  <c r="AG103" i="2" a="1"/>
  <c r="AF103" i="2" s="1"/>
  <c r="AG104" i="2" a="1"/>
  <c r="AF104" i="2" s="1"/>
  <c r="AG105" i="2" a="1"/>
  <c r="AF105" i="2" s="1"/>
  <c r="AG2" i="2" a="1"/>
  <c r="AF2" i="2" s="1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2" i="12"/>
  <c r="AE3" i="2" a="1"/>
  <c r="AE4" i="2" a="1"/>
  <c r="AE5" i="2" a="1"/>
  <c r="AE6" i="2" a="1"/>
  <c r="AE7" i="2" a="1"/>
  <c r="AE8" i="2" a="1"/>
  <c r="AE9" i="2" a="1"/>
  <c r="AE10" i="2" a="1"/>
  <c r="AE11" i="2" a="1"/>
  <c r="AE12" i="2" a="1"/>
  <c r="AE13" i="2" a="1"/>
  <c r="AE14" i="2" a="1"/>
  <c r="AE15" i="2" a="1"/>
  <c r="AE16" i="2" a="1"/>
  <c r="AE17" i="2" a="1"/>
  <c r="AE18" i="2" a="1"/>
  <c r="AE19" i="2" a="1"/>
  <c r="AE20" i="2" a="1"/>
  <c r="AE21" i="2" a="1"/>
  <c r="AE22" i="2" a="1"/>
  <c r="AE23" i="2" a="1"/>
  <c r="AE24" i="2" a="1"/>
  <c r="AE25" i="2" a="1"/>
  <c r="AE26" i="2" a="1"/>
  <c r="AE27" i="2" a="1"/>
  <c r="AE28" i="2" a="1"/>
  <c r="AE29" i="2" a="1"/>
  <c r="AE30" i="2" a="1"/>
  <c r="AE31" i="2" a="1"/>
  <c r="AE32" i="2" a="1"/>
  <c r="AE33" i="2" a="1"/>
  <c r="AE34" i="2" a="1"/>
  <c r="AE35" i="2" a="1"/>
  <c r="AE36" i="2" a="1"/>
  <c r="AE37" i="2" a="1"/>
  <c r="AE38" i="2" a="1"/>
  <c r="AE39" i="2" a="1"/>
  <c r="AE40" i="2" a="1"/>
  <c r="AE41" i="2" a="1"/>
  <c r="AE42" i="2" a="1"/>
  <c r="AE43" i="2" a="1"/>
  <c r="AE44" i="2" a="1"/>
  <c r="AE45" i="2" a="1"/>
  <c r="AE46" i="2" a="1"/>
  <c r="AE47" i="2" a="1"/>
  <c r="AE48" i="2" a="1"/>
  <c r="AE49" i="2" a="1"/>
  <c r="AE50" i="2" a="1"/>
  <c r="AE51" i="2" a="1"/>
  <c r="AE52" i="2" a="1"/>
  <c r="AE53" i="2" a="1"/>
  <c r="AE54" i="2" a="1"/>
  <c r="AE55" i="2" a="1"/>
  <c r="AE56" i="2" a="1"/>
  <c r="AE57" i="2" a="1"/>
  <c r="AE58" i="2" a="1"/>
  <c r="AE59" i="2" a="1"/>
  <c r="AE60" i="2" a="1"/>
  <c r="AE61" i="2" a="1"/>
  <c r="AE62" i="2" a="1"/>
  <c r="AE63" i="2" a="1"/>
  <c r="AE64" i="2" a="1"/>
  <c r="AE65" i="2" a="1"/>
  <c r="AE66" i="2" a="1"/>
  <c r="AE67" i="2" a="1"/>
  <c r="AE68" i="2" a="1"/>
  <c r="AE69" i="2" a="1"/>
  <c r="AE70" i="2" a="1"/>
  <c r="AE71" i="2" a="1"/>
  <c r="AE72" i="2" a="1"/>
  <c r="AE73" i="2" a="1"/>
  <c r="AE74" i="2" a="1"/>
  <c r="AE75" i="2" a="1"/>
  <c r="AE76" i="2" a="1"/>
  <c r="AE77" i="2" a="1"/>
  <c r="AE78" i="2" a="1"/>
  <c r="AE79" i="2" a="1"/>
  <c r="AE80" i="2" a="1"/>
  <c r="AE81" i="2" a="1"/>
  <c r="AE82" i="2" a="1"/>
  <c r="AE83" i="2" a="1"/>
  <c r="AE84" i="2" a="1"/>
  <c r="AE85" i="2" a="1"/>
  <c r="AE86" i="2" a="1"/>
  <c r="AE87" i="2" a="1"/>
  <c r="AE88" i="2" a="1"/>
  <c r="AE89" i="2" a="1"/>
  <c r="AE90" i="2" a="1"/>
  <c r="AE91" i="2" a="1"/>
  <c r="AE92" i="2" a="1"/>
  <c r="AE93" i="2" a="1"/>
  <c r="AE94" i="2" a="1"/>
  <c r="AE95" i="2" a="1"/>
  <c r="AE96" i="2" a="1"/>
  <c r="AE97" i="2" a="1"/>
  <c r="AE98" i="2" a="1"/>
  <c r="AE99" i="2" a="1"/>
  <c r="AE100" i="2" a="1"/>
  <c r="AE101" i="2" a="1"/>
  <c r="AE102" i="2" a="1"/>
  <c r="AE103" i="2" a="1"/>
  <c r="AE104" i="2" a="1"/>
  <c r="AE105" i="2" a="1"/>
  <c r="AE2" i="2" a="1"/>
  <c r="E3" i="2" a="1"/>
  <c r="E4" i="2" a="1"/>
  <c r="E5" i="2" a="1"/>
  <c r="E6" i="2" a="1"/>
  <c r="E7" i="2" a="1"/>
  <c r="E8" i="2" a="1"/>
  <c r="E9" i="2" a="1"/>
  <c r="E10" i="2" a="1"/>
  <c r="E11" i="2" a="1"/>
  <c r="E12" i="2" a="1"/>
  <c r="E13" i="2" a="1"/>
  <c r="E14" i="2" a="1"/>
  <c r="E15" i="2" a="1"/>
  <c r="E16" i="2" a="1"/>
  <c r="E17" i="2" a="1"/>
  <c r="E18" i="2" a="1"/>
  <c r="E19" i="2" a="1"/>
  <c r="E20" i="2" a="1"/>
  <c r="E21" i="2" a="1"/>
  <c r="E22" i="2" a="1"/>
  <c r="E23" i="2" a="1"/>
  <c r="E24" i="2" a="1"/>
  <c r="E25" i="2" a="1"/>
  <c r="E26" i="2" a="1"/>
  <c r="E27" i="2" a="1"/>
  <c r="E28" i="2" a="1"/>
  <c r="E29" i="2" a="1"/>
  <c r="E30" i="2" a="1"/>
  <c r="E31" i="2" a="1"/>
  <c r="E32" i="2" a="1"/>
  <c r="E33" i="2" a="1"/>
  <c r="E34" i="2" a="1"/>
  <c r="E35" i="2" a="1"/>
  <c r="E36" i="2" a="1"/>
  <c r="E37" i="2" a="1"/>
  <c r="E38" i="2" a="1"/>
  <c r="E39" i="2" a="1"/>
  <c r="E40" i="2" a="1"/>
  <c r="E41" i="2" a="1"/>
  <c r="E42" i="2" a="1"/>
  <c r="E43" i="2" a="1"/>
  <c r="E44" i="2" a="1"/>
  <c r="E45" i="2" a="1"/>
  <c r="E46" i="2" a="1"/>
  <c r="E47" i="2" a="1"/>
  <c r="E48" i="2" a="1"/>
  <c r="E49" i="2" a="1"/>
  <c r="E50" i="2" a="1"/>
  <c r="E51" i="2" a="1"/>
  <c r="E52" i="2" a="1"/>
  <c r="E53" i="2" a="1"/>
  <c r="E54" i="2" a="1"/>
  <c r="E55" i="2" a="1"/>
  <c r="E56" i="2" a="1"/>
  <c r="E57" i="2" a="1"/>
  <c r="E58" i="2" a="1"/>
  <c r="E59" i="2" a="1"/>
  <c r="E60" i="2" a="1"/>
  <c r="E61" i="2" a="1"/>
  <c r="E62" i="2" a="1"/>
  <c r="E63" i="2" a="1"/>
  <c r="E64" i="2" a="1"/>
  <c r="E65" i="2" a="1"/>
  <c r="E66" i="2" a="1"/>
  <c r="E67" i="2" a="1"/>
  <c r="E68" i="2" a="1"/>
  <c r="E69" i="2" a="1"/>
  <c r="E70" i="2" a="1"/>
  <c r="E71" i="2" a="1"/>
  <c r="E72" i="2" a="1"/>
  <c r="E73" i="2" a="1"/>
  <c r="E74" i="2" a="1"/>
  <c r="E75" i="2" a="1"/>
  <c r="E76" i="2" a="1"/>
  <c r="E77" i="2" a="1"/>
  <c r="E78" i="2" a="1"/>
  <c r="E79" i="2" a="1"/>
  <c r="E80" i="2" a="1"/>
  <c r="E81" i="2" a="1"/>
  <c r="E82" i="2" a="1"/>
  <c r="E83" i="2" a="1"/>
  <c r="E84" i="2" a="1"/>
  <c r="E85" i="2" a="1"/>
  <c r="E86" i="2" a="1"/>
  <c r="E87" i="2" a="1"/>
  <c r="E88" i="2" a="1"/>
  <c r="E89" i="2" a="1"/>
  <c r="E90" i="2" a="1"/>
  <c r="E91" i="2" a="1"/>
  <c r="E92" i="2" a="1"/>
  <c r="E93" i="2" a="1"/>
  <c r="E94" i="2" a="1"/>
  <c r="E95" i="2" a="1"/>
  <c r="E96" i="2" a="1"/>
  <c r="E97" i="2" a="1"/>
  <c r="E98" i="2" a="1"/>
  <c r="E99" i="2" a="1"/>
  <c r="E100" i="2" a="1"/>
  <c r="E101" i="2" a="1"/>
  <c r="E102" i="2" a="1"/>
  <c r="E103" i="2" a="1"/>
  <c r="E104" i="2" a="1"/>
  <c r="E105" i="2" a="1"/>
  <c r="E2" i="2" a="1"/>
  <c r="D3" i="2" a="1"/>
  <c r="AD3" i="2" s="1"/>
  <c r="D4" i="2" a="1"/>
  <c r="AD4" i="2" s="1"/>
  <c r="D5" i="2" a="1"/>
  <c r="AD5" i="2" s="1"/>
  <c r="D6" i="2" a="1"/>
  <c r="AD6" i="2" s="1"/>
  <c r="D7" i="2" a="1"/>
  <c r="AD7" i="2" s="1"/>
  <c r="D8" i="2" a="1"/>
  <c r="AD8" i="2" s="1"/>
  <c r="D9" i="2" a="1"/>
  <c r="AD9" i="2" s="1"/>
  <c r="D10" i="2" a="1"/>
  <c r="AD10" i="2" s="1"/>
  <c r="D11" i="2" a="1"/>
  <c r="AD11" i="2" s="1"/>
  <c r="D12" i="2" a="1"/>
  <c r="AD12" i="2" s="1"/>
  <c r="D13" i="2" a="1"/>
  <c r="AD13" i="2" s="1"/>
  <c r="D14" i="2" a="1"/>
  <c r="AD14" i="2" s="1"/>
  <c r="D15" i="2" a="1"/>
  <c r="AD15" i="2" s="1"/>
  <c r="D16" i="2" a="1"/>
  <c r="AD16" i="2" s="1"/>
  <c r="D17" i="2" a="1"/>
  <c r="AD17" i="2" s="1"/>
  <c r="D18" i="2" a="1"/>
  <c r="AD18" i="2" s="1"/>
  <c r="D19" i="2" a="1"/>
  <c r="AD19" i="2" s="1"/>
  <c r="D20" i="2" a="1"/>
  <c r="AD20" i="2" s="1"/>
  <c r="D21" i="2" a="1"/>
  <c r="AD21" i="2" s="1"/>
  <c r="D22" i="2" a="1"/>
  <c r="AD22" i="2" s="1"/>
  <c r="D23" i="2" a="1"/>
  <c r="AD23" i="2" s="1"/>
  <c r="D24" i="2" a="1"/>
  <c r="AD24" i="2" s="1"/>
  <c r="D25" i="2" a="1"/>
  <c r="AD25" i="2" s="1"/>
  <c r="D26" i="2" a="1"/>
  <c r="AD26" i="2" s="1"/>
  <c r="D27" i="2" a="1"/>
  <c r="AD27" i="2" s="1"/>
  <c r="D28" i="2" a="1"/>
  <c r="AD28" i="2" s="1"/>
  <c r="D29" i="2" a="1"/>
  <c r="AD29" i="2" s="1"/>
  <c r="D30" i="2" a="1"/>
  <c r="AD30" i="2" s="1"/>
  <c r="D31" i="2" a="1"/>
  <c r="AD31" i="2" s="1"/>
  <c r="D32" i="2" a="1"/>
  <c r="AD32" i="2" s="1"/>
  <c r="D33" i="2" a="1"/>
  <c r="AD33" i="2" s="1"/>
  <c r="D34" i="2" a="1"/>
  <c r="AD34" i="2" s="1"/>
  <c r="D35" i="2" a="1"/>
  <c r="AD35" i="2" s="1"/>
  <c r="D36" i="2" a="1"/>
  <c r="AD36" i="2" s="1"/>
  <c r="D37" i="2" a="1"/>
  <c r="AD37" i="2" s="1"/>
  <c r="D38" i="2" a="1"/>
  <c r="AD38" i="2" s="1"/>
  <c r="D39" i="2" a="1"/>
  <c r="AD39" i="2" s="1"/>
  <c r="D40" i="2" a="1"/>
  <c r="AD40" i="2" s="1"/>
  <c r="D41" i="2" a="1"/>
  <c r="AD41" i="2" s="1"/>
  <c r="D42" i="2" a="1"/>
  <c r="AD42" i="2" s="1"/>
  <c r="D43" i="2" a="1"/>
  <c r="AD43" i="2" s="1"/>
  <c r="D44" i="2" a="1"/>
  <c r="AD44" i="2" s="1"/>
  <c r="D45" i="2" a="1"/>
  <c r="AD45" i="2" s="1"/>
  <c r="D46" i="2" a="1"/>
  <c r="AD46" i="2" s="1"/>
  <c r="D47" i="2" a="1"/>
  <c r="AD47" i="2" s="1"/>
  <c r="D48" i="2" a="1"/>
  <c r="AD48" i="2" s="1"/>
  <c r="D49" i="2" a="1"/>
  <c r="AD49" i="2" s="1"/>
  <c r="D50" i="2" a="1"/>
  <c r="AD50" i="2" s="1"/>
  <c r="D51" i="2" a="1"/>
  <c r="AD51" i="2" s="1"/>
  <c r="D52" i="2" a="1"/>
  <c r="AD52" i="2" s="1"/>
  <c r="D53" i="2" a="1"/>
  <c r="AD53" i="2" s="1"/>
  <c r="D54" i="2" a="1"/>
  <c r="AD54" i="2" s="1"/>
  <c r="D55" i="2" a="1"/>
  <c r="AD55" i="2" s="1"/>
  <c r="D56" i="2" a="1"/>
  <c r="AD56" i="2" s="1"/>
  <c r="D57" i="2" a="1"/>
  <c r="AD57" i="2" s="1"/>
  <c r="D58" i="2" a="1"/>
  <c r="AD58" i="2" s="1"/>
  <c r="D59" i="2" a="1"/>
  <c r="AD59" i="2" s="1"/>
  <c r="D60" i="2" a="1"/>
  <c r="AD60" i="2" s="1"/>
  <c r="D61" i="2" a="1"/>
  <c r="AD61" i="2" s="1"/>
  <c r="D62" i="2" a="1"/>
  <c r="AD62" i="2" s="1"/>
  <c r="D63" i="2" a="1"/>
  <c r="AD63" i="2" s="1"/>
  <c r="D64" i="2" a="1"/>
  <c r="AD64" i="2" s="1"/>
  <c r="D65" i="2" a="1"/>
  <c r="AD65" i="2" s="1"/>
  <c r="D66" i="2" a="1"/>
  <c r="AD66" i="2" s="1"/>
  <c r="D67" i="2" a="1"/>
  <c r="AD67" i="2" s="1"/>
  <c r="D68" i="2" a="1"/>
  <c r="AD68" i="2" s="1"/>
  <c r="D69" i="2" a="1"/>
  <c r="AD69" i="2" s="1"/>
  <c r="D70" i="2" a="1"/>
  <c r="AD70" i="2" s="1"/>
  <c r="D71" i="2" a="1"/>
  <c r="AD71" i="2" s="1"/>
  <c r="D72" i="2" a="1"/>
  <c r="AD72" i="2" s="1"/>
  <c r="D73" i="2" a="1"/>
  <c r="AD73" i="2" s="1"/>
  <c r="D74" i="2" a="1"/>
  <c r="AD74" i="2" s="1"/>
  <c r="D75" i="2" a="1"/>
  <c r="AD75" i="2" s="1"/>
  <c r="D76" i="2" a="1"/>
  <c r="AD76" i="2" s="1"/>
  <c r="D77" i="2" a="1"/>
  <c r="AD77" i="2" s="1"/>
  <c r="D78" i="2" a="1"/>
  <c r="AD78" i="2" s="1"/>
  <c r="D79" i="2" a="1"/>
  <c r="AD79" i="2" s="1"/>
  <c r="D80" i="2" a="1"/>
  <c r="AD80" i="2" s="1"/>
  <c r="D81" i="2" a="1"/>
  <c r="AD81" i="2" s="1"/>
  <c r="D82" i="2" a="1"/>
  <c r="AD82" i="2" s="1"/>
  <c r="D83" i="2" a="1"/>
  <c r="AD83" i="2" s="1"/>
  <c r="D84" i="2" a="1"/>
  <c r="AD84" i="2" s="1"/>
  <c r="D85" i="2" a="1"/>
  <c r="AD85" i="2" s="1"/>
  <c r="D86" i="2" a="1"/>
  <c r="AD86" i="2" s="1"/>
  <c r="D87" i="2" a="1"/>
  <c r="AD87" i="2" s="1"/>
  <c r="D88" i="2" a="1"/>
  <c r="AD88" i="2" s="1"/>
  <c r="D89" i="2" a="1"/>
  <c r="AD89" i="2" s="1"/>
  <c r="D90" i="2" a="1"/>
  <c r="AD90" i="2" s="1"/>
  <c r="D91" i="2" a="1"/>
  <c r="AD91" i="2" s="1"/>
  <c r="D92" i="2" a="1"/>
  <c r="AD92" i="2" s="1"/>
  <c r="D93" i="2" a="1"/>
  <c r="AD93" i="2" s="1"/>
  <c r="D94" i="2" a="1"/>
  <c r="AD94" i="2" s="1"/>
  <c r="D95" i="2" a="1"/>
  <c r="AD95" i="2" s="1"/>
  <c r="D96" i="2" a="1"/>
  <c r="AD96" i="2" s="1"/>
  <c r="D97" i="2" a="1"/>
  <c r="AD97" i="2" s="1"/>
  <c r="D98" i="2" a="1"/>
  <c r="AD98" i="2" s="1"/>
  <c r="D99" i="2" a="1"/>
  <c r="AD99" i="2" s="1"/>
  <c r="D100" i="2" a="1"/>
  <c r="AD100" i="2" s="1"/>
  <c r="D101" i="2" a="1"/>
  <c r="AD101" i="2" s="1"/>
  <c r="D102" i="2" a="1"/>
  <c r="AD102" i="2" s="1"/>
  <c r="D103" i="2" a="1"/>
  <c r="AD103" i="2" s="1"/>
  <c r="D104" i="2" a="1"/>
  <c r="AD104" i="2" s="1"/>
  <c r="D105" i="2" a="1"/>
  <c r="AD105" i="2" s="1"/>
  <c r="D2" i="2" a="1"/>
  <c r="AD2" i="2" s="1"/>
  <c r="D107" i="11"/>
  <c r="E3" i="9"/>
  <c r="G3" i="9"/>
  <c r="I3" i="9"/>
  <c r="K3" i="9"/>
  <c r="M3" i="9"/>
  <c r="O3" i="9"/>
  <c r="Q3" i="9"/>
  <c r="S3" i="9"/>
  <c r="C3" i="9"/>
  <c r="T61" i="9"/>
  <c r="T62" i="9"/>
  <c r="T63" i="9"/>
  <c r="T64" i="9"/>
  <c r="T65" i="9"/>
  <c r="T66" i="9"/>
  <c r="T67" i="9"/>
  <c r="T68" i="9"/>
  <c r="T69" i="9"/>
  <c r="T70" i="9"/>
  <c r="T71" i="9"/>
  <c r="T72" i="9"/>
  <c r="T101" i="9"/>
  <c r="T102" i="9"/>
  <c r="T103" i="9"/>
  <c r="T104" i="9"/>
  <c r="T105" i="9"/>
  <c r="T106" i="9"/>
  <c r="T54" i="9"/>
  <c r="T55" i="9"/>
  <c r="T56" i="9"/>
  <c r="T58" i="9"/>
  <c r="T53" i="9"/>
  <c r="T57" i="9"/>
  <c r="T59" i="9"/>
  <c r="T77" i="9"/>
  <c r="T78" i="9"/>
  <c r="T73" i="9"/>
  <c r="T74" i="9"/>
  <c r="T75" i="9"/>
  <c r="T76" i="9"/>
  <c r="T93" i="9"/>
  <c r="T86" i="9"/>
  <c r="T88" i="9"/>
  <c r="T89" i="9"/>
  <c r="T90" i="9"/>
  <c r="T91" i="9"/>
  <c r="T92" i="9"/>
  <c r="T87" i="9"/>
  <c r="T96" i="9"/>
  <c r="T98" i="9"/>
  <c r="T107" i="9"/>
  <c r="T82" i="9"/>
  <c r="T94" i="9"/>
  <c r="T95" i="9"/>
  <c r="T97" i="9"/>
  <c r="T99" i="9"/>
  <c r="T100" i="9"/>
  <c r="T79" i="9"/>
  <c r="T80" i="9"/>
  <c r="T81" i="9"/>
  <c r="T83" i="9"/>
  <c r="T84" i="9"/>
  <c r="T85" i="9"/>
  <c r="T41" i="9"/>
  <c r="T42" i="9"/>
  <c r="T43" i="9"/>
  <c r="T44" i="9"/>
  <c r="T45" i="9"/>
  <c r="T46" i="9"/>
  <c r="T47" i="9"/>
  <c r="T48" i="9"/>
  <c r="T49" i="9"/>
  <c r="T50" i="9"/>
  <c r="T51" i="9"/>
  <c r="T52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21" i="9"/>
  <c r="T22" i="9"/>
  <c r="T23" i="9"/>
  <c r="T24" i="9"/>
  <c r="T25" i="9"/>
  <c r="T26" i="9"/>
  <c r="T7" i="9"/>
  <c r="T11" i="9"/>
  <c r="T15" i="9"/>
  <c r="T16" i="9"/>
  <c r="T18" i="9"/>
  <c r="T19" i="9"/>
  <c r="T12" i="9"/>
  <c r="T13" i="9"/>
  <c r="T14" i="9"/>
  <c r="T17" i="9"/>
  <c r="T20" i="9"/>
  <c r="T4" i="9"/>
  <c r="T5" i="9"/>
  <c r="T6" i="9"/>
  <c r="T8" i="9"/>
  <c r="T9" i="9"/>
  <c r="T10" i="9"/>
  <c r="T60" i="9"/>
  <c r="R61" i="9"/>
  <c r="R62" i="9"/>
  <c r="R63" i="9"/>
  <c r="R64" i="9"/>
  <c r="R65" i="9"/>
  <c r="R66" i="9"/>
  <c r="R67" i="9"/>
  <c r="R68" i="9"/>
  <c r="R69" i="9"/>
  <c r="R70" i="9"/>
  <c r="R71" i="9"/>
  <c r="R72" i="9"/>
  <c r="R101" i="9"/>
  <c r="R102" i="9"/>
  <c r="R103" i="9"/>
  <c r="R104" i="9"/>
  <c r="R105" i="9"/>
  <c r="R106" i="9"/>
  <c r="R54" i="9"/>
  <c r="R55" i="9"/>
  <c r="R56" i="9"/>
  <c r="R58" i="9"/>
  <c r="R53" i="9"/>
  <c r="R57" i="9"/>
  <c r="R59" i="9"/>
  <c r="R77" i="9"/>
  <c r="R78" i="9"/>
  <c r="R73" i="9"/>
  <c r="R74" i="9"/>
  <c r="R75" i="9"/>
  <c r="R76" i="9"/>
  <c r="R93" i="9"/>
  <c r="R86" i="9"/>
  <c r="R88" i="9"/>
  <c r="R89" i="9"/>
  <c r="R90" i="9"/>
  <c r="R91" i="9"/>
  <c r="R92" i="9"/>
  <c r="R87" i="9"/>
  <c r="R96" i="9"/>
  <c r="R98" i="9"/>
  <c r="R107" i="9"/>
  <c r="R82" i="9"/>
  <c r="R94" i="9"/>
  <c r="R95" i="9"/>
  <c r="R97" i="9"/>
  <c r="R99" i="9"/>
  <c r="R100" i="9"/>
  <c r="R79" i="9"/>
  <c r="R80" i="9"/>
  <c r="R81" i="9"/>
  <c r="R83" i="9"/>
  <c r="R84" i="9"/>
  <c r="R85" i="9"/>
  <c r="R41" i="9"/>
  <c r="R42" i="9"/>
  <c r="R43" i="9"/>
  <c r="R44" i="9"/>
  <c r="R45" i="9"/>
  <c r="R46" i="9"/>
  <c r="R47" i="9"/>
  <c r="R48" i="9"/>
  <c r="R49" i="9"/>
  <c r="R50" i="9"/>
  <c r="R51" i="9"/>
  <c r="R52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21" i="9"/>
  <c r="R22" i="9"/>
  <c r="R23" i="9"/>
  <c r="R24" i="9"/>
  <c r="R25" i="9"/>
  <c r="R26" i="9"/>
  <c r="R7" i="9"/>
  <c r="R11" i="9"/>
  <c r="R15" i="9"/>
  <c r="R16" i="9"/>
  <c r="R18" i="9"/>
  <c r="R19" i="9"/>
  <c r="R12" i="9"/>
  <c r="R13" i="9"/>
  <c r="R14" i="9"/>
  <c r="R17" i="9"/>
  <c r="R20" i="9"/>
  <c r="R4" i="9"/>
  <c r="R5" i="9"/>
  <c r="R6" i="9"/>
  <c r="R8" i="9"/>
  <c r="R9" i="9"/>
  <c r="R10" i="9"/>
  <c r="R60" i="9"/>
  <c r="P61" i="9"/>
  <c r="P62" i="9"/>
  <c r="P63" i="9"/>
  <c r="P64" i="9"/>
  <c r="P65" i="9"/>
  <c r="P66" i="9"/>
  <c r="P67" i="9"/>
  <c r="P68" i="9"/>
  <c r="P69" i="9"/>
  <c r="P70" i="9"/>
  <c r="P71" i="9"/>
  <c r="P72" i="9"/>
  <c r="P101" i="9"/>
  <c r="P102" i="9"/>
  <c r="P103" i="9"/>
  <c r="P104" i="9"/>
  <c r="P105" i="9"/>
  <c r="P106" i="9"/>
  <c r="P54" i="9"/>
  <c r="P55" i="9"/>
  <c r="P56" i="9"/>
  <c r="P58" i="9"/>
  <c r="P53" i="9"/>
  <c r="P57" i="9"/>
  <c r="P59" i="9"/>
  <c r="P77" i="9"/>
  <c r="P78" i="9"/>
  <c r="P73" i="9"/>
  <c r="P74" i="9"/>
  <c r="P75" i="9"/>
  <c r="P76" i="9"/>
  <c r="P93" i="9"/>
  <c r="P86" i="9"/>
  <c r="P88" i="9"/>
  <c r="P89" i="9"/>
  <c r="P90" i="9"/>
  <c r="P91" i="9"/>
  <c r="P92" i="9"/>
  <c r="P87" i="9"/>
  <c r="P96" i="9"/>
  <c r="P98" i="9"/>
  <c r="P107" i="9"/>
  <c r="P82" i="9"/>
  <c r="P94" i="9"/>
  <c r="P95" i="9"/>
  <c r="P97" i="9"/>
  <c r="P99" i="9"/>
  <c r="P100" i="9"/>
  <c r="P79" i="9"/>
  <c r="P80" i="9"/>
  <c r="P81" i="9"/>
  <c r="P83" i="9"/>
  <c r="P84" i="9"/>
  <c r="P85" i="9"/>
  <c r="P41" i="9"/>
  <c r="P42" i="9"/>
  <c r="P43" i="9"/>
  <c r="P44" i="9"/>
  <c r="P45" i="9"/>
  <c r="P46" i="9"/>
  <c r="P47" i="9"/>
  <c r="P48" i="9"/>
  <c r="P49" i="9"/>
  <c r="P50" i="9"/>
  <c r="P51" i="9"/>
  <c r="P52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21" i="9"/>
  <c r="P22" i="9"/>
  <c r="P23" i="9"/>
  <c r="P24" i="9"/>
  <c r="P25" i="9"/>
  <c r="P26" i="9"/>
  <c r="P7" i="9"/>
  <c r="P11" i="9"/>
  <c r="P15" i="9"/>
  <c r="P16" i="9"/>
  <c r="P18" i="9"/>
  <c r="P19" i="9"/>
  <c r="P12" i="9"/>
  <c r="P13" i="9"/>
  <c r="P14" i="9"/>
  <c r="P17" i="9"/>
  <c r="P20" i="9"/>
  <c r="P4" i="9"/>
  <c r="P5" i="9"/>
  <c r="P6" i="9"/>
  <c r="P8" i="9"/>
  <c r="P9" i="9"/>
  <c r="P10" i="9"/>
  <c r="P60" i="9"/>
  <c r="N61" i="9"/>
  <c r="N62" i="9"/>
  <c r="N63" i="9"/>
  <c r="N64" i="9"/>
  <c r="N65" i="9"/>
  <c r="N66" i="9"/>
  <c r="N67" i="9"/>
  <c r="N68" i="9"/>
  <c r="N69" i="9"/>
  <c r="N70" i="9"/>
  <c r="N71" i="9"/>
  <c r="N72" i="9"/>
  <c r="N101" i="9"/>
  <c r="N102" i="9"/>
  <c r="N103" i="9"/>
  <c r="N104" i="9"/>
  <c r="N105" i="9"/>
  <c r="N106" i="9"/>
  <c r="N54" i="9"/>
  <c r="N55" i="9"/>
  <c r="N56" i="9"/>
  <c r="N58" i="9"/>
  <c r="N53" i="9"/>
  <c r="N57" i="9"/>
  <c r="N59" i="9"/>
  <c r="N77" i="9"/>
  <c r="N78" i="9"/>
  <c r="N73" i="9"/>
  <c r="N74" i="9"/>
  <c r="N75" i="9"/>
  <c r="N76" i="9"/>
  <c r="N93" i="9"/>
  <c r="N86" i="9"/>
  <c r="N88" i="9"/>
  <c r="N89" i="9"/>
  <c r="N90" i="9"/>
  <c r="N91" i="9"/>
  <c r="N92" i="9"/>
  <c r="N87" i="9"/>
  <c r="N96" i="9"/>
  <c r="N98" i="9"/>
  <c r="N107" i="9"/>
  <c r="N82" i="9"/>
  <c r="N94" i="9"/>
  <c r="N95" i="9"/>
  <c r="N97" i="9"/>
  <c r="N99" i="9"/>
  <c r="N100" i="9"/>
  <c r="N79" i="9"/>
  <c r="N80" i="9"/>
  <c r="N81" i="9"/>
  <c r="N83" i="9"/>
  <c r="N84" i="9"/>
  <c r="N85" i="9"/>
  <c r="N41" i="9"/>
  <c r="N42" i="9"/>
  <c r="N43" i="9"/>
  <c r="N44" i="9"/>
  <c r="N45" i="9"/>
  <c r="N46" i="9"/>
  <c r="N47" i="9"/>
  <c r="N48" i="9"/>
  <c r="N49" i="9"/>
  <c r="N50" i="9"/>
  <c r="N51" i="9"/>
  <c r="N52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21" i="9"/>
  <c r="N22" i="9"/>
  <c r="N23" i="9"/>
  <c r="N24" i="9"/>
  <c r="N25" i="9"/>
  <c r="N26" i="9"/>
  <c r="N7" i="9"/>
  <c r="N11" i="9"/>
  <c r="N15" i="9"/>
  <c r="N16" i="9"/>
  <c r="N18" i="9"/>
  <c r="N19" i="9"/>
  <c r="N12" i="9"/>
  <c r="N13" i="9"/>
  <c r="N14" i="9"/>
  <c r="N17" i="9"/>
  <c r="N20" i="9"/>
  <c r="N4" i="9"/>
  <c r="N5" i="9"/>
  <c r="N6" i="9"/>
  <c r="N8" i="9"/>
  <c r="N9" i="9"/>
  <c r="N10" i="9"/>
  <c r="N60" i="9"/>
  <c r="L61" i="9"/>
  <c r="L62" i="9"/>
  <c r="L63" i="9"/>
  <c r="L64" i="9"/>
  <c r="L65" i="9"/>
  <c r="L66" i="9"/>
  <c r="L67" i="9"/>
  <c r="L68" i="9"/>
  <c r="L69" i="9"/>
  <c r="L70" i="9"/>
  <c r="L71" i="9"/>
  <c r="L72" i="9"/>
  <c r="L101" i="9"/>
  <c r="L102" i="9"/>
  <c r="L103" i="9"/>
  <c r="L104" i="9"/>
  <c r="L105" i="9"/>
  <c r="L106" i="9"/>
  <c r="L54" i="9"/>
  <c r="L55" i="9"/>
  <c r="L56" i="9"/>
  <c r="L58" i="9"/>
  <c r="L53" i="9"/>
  <c r="L57" i="9"/>
  <c r="L59" i="9"/>
  <c r="L77" i="9"/>
  <c r="L78" i="9"/>
  <c r="L73" i="9"/>
  <c r="L74" i="9"/>
  <c r="L75" i="9"/>
  <c r="L76" i="9"/>
  <c r="L93" i="9"/>
  <c r="L86" i="9"/>
  <c r="L88" i="9"/>
  <c r="L89" i="9"/>
  <c r="L90" i="9"/>
  <c r="L91" i="9"/>
  <c r="L92" i="9"/>
  <c r="L87" i="9"/>
  <c r="L96" i="9"/>
  <c r="L98" i="9"/>
  <c r="L107" i="9"/>
  <c r="L82" i="9"/>
  <c r="L94" i="9"/>
  <c r="L95" i="9"/>
  <c r="L97" i="9"/>
  <c r="L99" i="9"/>
  <c r="L100" i="9"/>
  <c r="L79" i="9"/>
  <c r="L80" i="9"/>
  <c r="L81" i="9"/>
  <c r="L83" i="9"/>
  <c r="L84" i="9"/>
  <c r="L85" i="9"/>
  <c r="L41" i="9"/>
  <c r="L42" i="9"/>
  <c r="L43" i="9"/>
  <c r="L44" i="9"/>
  <c r="L45" i="9"/>
  <c r="L46" i="9"/>
  <c r="L47" i="9"/>
  <c r="L48" i="9"/>
  <c r="L49" i="9"/>
  <c r="L50" i="9"/>
  <c r="L51" i="9"/>
  <c r="L52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21" i="9"/>
  <c r="L22" i="9"/>
  <c r="L23" i="9"/>
  <c r="L24" i="9"/>
  <c r="L25" i="9"/>
  <c r="L26" i="9"/>
  <c r="L7" i="9"/>
  <c r="L11" i="9"/>
  <c r="L15" i="9"/>
  <c r="L16" i="9"/>
  <c r="L18" i="9"/>
  <c r="L19" i="9"/>
  <c r="L12" i="9"/>
  <c r="L13" i="9"/>
  <c r="L14" i="9"/>
  <c r="L17" i="9"/>
  <c r="L20" i="9"/>
  <c r="L4" i="9"/>
  <c r="L5" i="9"/>
  <c r="L6" i="9"/>
  <c r="L8" i="9"/>
  <c r="L9" i="9"/>
  <c r="L10" i="9"/>
  <c r="L60" i="9"/>
  <c r="J61" i="9"/>
  <c r="J62" i="9"/>
  <c r="J63" i="9"/>
  <c r="J64" i="9"/>
  <c r="J65" i="9"/>
  <c r="J66" i="9"/>
  <c r="J67" i="9"/>
  <c r="J68" i="9"/>
  <c r="J69" i="9"/>
  <c r="J70" i="9"/>
  <c r="J71" i="9"/>
  <c r="J72" i="9"/>
  <c r="J101" i="9"/>
  <c r="J102" i="9"/>
  <c r="J103" i="9"/>
  <c r="J104" i="9"/>
  <c r="J105" i="9"/>
  <c r="J106" i="9"/>
  <c r="J54" i="9"/>
  <c r="J55" i="9"/>
  <c r="J56" i="9"/>
  <c r="J58" i="9"/>
  <c r="J53" i="9"/>
  <c r="J57" i="9"/>
  <c r="J59" i="9"/>
  <c r="J77" i="9"/>
  <c r="J78" i="9"/>
  <c r="J73" i="9"/>
  <c r="J74" i="9"/>
  <c r="J75" i="9"/>
  <c r="J76" i="9"/>
  <c r="J93" i="9"/>
  <c r="J86" i="9"/>
  <c r="J88" i="9"/>
  <c r="J89" i="9"/>
  <c r="J90" i="9"/>
  <c r="J91" i="9"/>
  <c r="J92" i="9"/>
  <c r="J87" i="9"/>
  <c r="J96" i="9"/>
  <c r="J98" i="9"/>
  <c r="J107" i="9"/>
  <c r="J82" i="9"/>
  <c r="J94" i="9"/>
  <c r="J95" i="9"/>
  <c r="J97" i="9"/>
  <c r="J99" i="9"/>
  <c r="J100" i="9"/>
  <c r="J79" i="9"/>
  <c r="J80" i="9"/>
  <c r="J81" i="9"/>
  <c r="J83" i="9"/>
  <c r="J84" i="9"/>
  <c r="J85" i="9"/>
  <c r="J41" i="9"/>
  <c r="J42" i="9"/>
  <c r="J43" i="9"/>
  <c r="J44" i="9"/>
  <c r="J45" i="9"/>
  <c r="J46" i="9"/>
  <c r="J47" i="9"/>
  <c r="J48" i="9"/>
  <c r="J49" i="9"/>
  <c r="J50" i="9"/>
  <c r="J51" i="9"/>
  <c r="J52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21" i="9"/>
  <c r="J22" i="9"/>
  <c r="J23" i="9"/>
  <c r="J24" i="9"/>
  <c r="J25" i="9"/>
  <c r="J26" i="9"/>
  <c r="J7" i="9"/>
  <c r="J11" i="9"/>
  <c r="J15" i="9"/>
  <c r="J16" i="9"/>
  <c r="J18" i="9"/>
  <c r="J19" i="9"/>
  <c r="J12" i="9"/>
  <c r="J13" i="9"/>
  <c r="J14" i="9"/>
  <c r="J17" i="9"/>
  <c r="J20" i="9"/>
  <c r="J4" i="9"/>
  <c r="J5" i="9"/>
  <c r="J6" i="9"/>
  <c r="J8" i="9"/>
  <c r="J9" i="9"/>
  <c r="J10" i="9"/>
  <c r="J60" i="9"/>
  <c r="H61" i="9"/>
  <c r="H62" i="9"/>
  <c r="H63" i="9"/>
  <c r="H64" i="9"/>
  <c r="H65" i="9"/>
  <c r="H66" i="9"/>
  <c r="H67" i="9"/>
  <c r="H68" i="9"/>
  <c r="H69" i="9"/>
  <c r="H70" i="9"/>
  <c r="H71" i="9"/>
  <c r="H72" i="9"/>
  <c r="H101" i="9"/>
  <c r="H102" i="9"/>
  <c r="H103" i="9"/>
  <c r="H104" i="9"/>
  <c r="H105" i="9"/>
  <c r="H106" i="9"/>
  <c r="H54" i="9"/>
  <c r="H55" i="9"/>
  <c r="H56" i="9"/>
  <c r="H58" i="9"/>
  <c r="H53" i="9"/>
  <c r="H57" i="9"/>
  <c r="H59" i="9"/>
  <c r="H77" i="9"/>
  <c r="H78" i="9"/>
  <c r="H73" i="9"/>
  <c r="H74" i="9"/>
  <c r="H75" i="9"/>
  <c r="H76" i="9"/>
  <c r="H93" i="9"/>
  <c r="H86" i="9"/>
  <c r="H88" i="9"/>
  <c r="H89" i="9"/>
  <c r="H90" i="9"/>
  <c r="H91" i="9"/>
  <c r="H92" i="9"/>
  <c r="H87" i="9"/>
  <c r="H96" i="9"/>
  <c r="H98" i="9"/>
  <c r="H107" i="9"/>
  <c r="H82" i="9"/>
  <c r="H94" i="9"/>
  <c r="H95" i="9"/>
  <c r="H97" i="9"/>
  <c r="H99" i="9"/>
  <c r="H100" i="9"/>
  <c r="H79" i="9"/>
  <c r="H80" i="9"/>
  <c r="H81" i="9"/>
  <c r="H83" i="9"/>
  <c r="H84" i="9"/>
  <c r="H85" i="9"/>
  <c r="H41" i="9"/>
  <c r="H42" i="9"/>
  <c r="H43" i="9"/>
  <c r="H44" i="9"/>
  <c r="H45" i="9"/>
  <c r="H46" i="9"/>
  <c r="H47" i="9"/>
  <c r="H48" i="9"/>
  <c r="H49" i="9"/>
  <c r="H50" i="9"/>
  <c r="H51" i="9"/>
  <c r="H52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21" i="9"/>
  <c r="H22" i="9"/>
  <c r="H23" i="9"/>
  <c r="H24" i="9"/>
  <c r="H25" i="9"/>
  <c r="H26" i="9"/>
  <c r="H7" i="9"/>
  <c r="H11" i="9"/>
  <c r="H15" i="9"/>
  <c r="H16" i="9"/>
  <c r="H18" i="9"/>
  <c r="H19" i="9"/>
  <c r="H12" i="9"/>
  <c r="H13" i="9"/>
  <c r="H14" i="9"/>
  <c r="H17" i="9"/>
  <c r="H20" i="9"/>
  <c r="H4" i="9"/>
  <c r="H5" i="9"/>
  <c r="H6" i="9"/>
  <c r="H8" i="9"/>
  <c r="H9" i="9"/>
  <c r="H10" i="9"/>
  <c r="H60" i="9"/>
  <c r="F60" i="9"/>
  <c r="F61" i="9"/>
  <c r="F62" i="9"/>
  <c r="F63" i="9"/>
  <c r="F64" i="9"/>
  <c r="F65" i="9"/>
  <c r="F66" i="9"/>
  <c r="D61" i="9"/>
  <c r="D62" i="9"/>
  <c r="D63" i="9"/>
  <c r="D64" i="9"/>
  <c r="D65" i="9"/>
  <c r="D66" i="9"/>
  <c r="D67" i="9"/>
  <c r="D68" i="9"/>
  <c r="D69" i="9"/>
  <c r="D70" i="9"/>
  <c r="D71" i="9"/>
  <c r="D72" i="9"/>
  <c r="D101" i="9"/>
  <c r="D102" i="9"/>
  <c r="D103" i="9"/>
  <c r="D104" i="9"/>
  <c r="D105" i="9"/>
  <c r="D106" i="9"/>
  <c r="D54" i="9"/>
  <c r="D55" i="9"/>
  <c r="D56" i="9"/>
  <c r="D58" i="9"/>
  <c r="D53" i="9"/>
  <c r="D57" i="9"/>
  <c r="D59" i="9"/>
  <c r="D77" i="9"/>
  <c r="D78" i="9"/>
  <c r="D73" i="9"/>
  <c r="D74" i="9"/>
  <c r="D75" i="9"/>
  <c r="D76" i="9"/>
  <c r="D93" i="9"/>
  <c r="D86" i="9"/>
  <c r="D88" i="9"/>
  <c r="D89" i="9"/>
  <c r="D90" i="9"/>
  <c r="D91" i="9"/>
  <c r="D92" i="9"/>
  <c r="D87" i="9"/>
  <c r="D96" i="9"/>
  <c r="D98" i="9"/>
  <c r="D107" i="9"/>
  <c r="D82" i="9"/>
  <c r="D94" i="9"/>
  <c r="D95" i="9"/>
  <c r="D97" i="9"/>
  <c r="D99" i="9"/>
  <c r="D100" i="9"/>
  <c r="D79" i="9"/>
  <c r="D80" i="9"/>
  <c r="D81" i="9"/>
  <c r="D83" i="9"/>
  <c r="D84" i="9"/>
  <c r="D85" i="9"/>
  <c r="D41" i="9"/>
  <c r="D42" i="9"/>
  <c r="D43" i="9"/>
  <c r="D44" i="9"/>
  <c r="D45" i="9"/>
  <c r="D46" i="9"/>
  <c r="D47" i="9"/>
  <c r="D48" i="9"/>
  <c r="D49" i="9"/>
  <c r="D50" i="9"/>
  <c r="D51" i="9"/>
  <c r="D52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21" i="9"/>
  <c r="D22" i="9"/>
  <c r="D23" i="9"/>
  <c r="D24" i="9"/>
  <c r="D25" i="9"/>
  <c r="D26" i="9"/>
  <c r="D7" i="9"/>
  <c r="D11" i="9"/>
  <c r="D15" i="9"/>
  <c r="D16" i="9"/>
  <c r="D18" i="9"/>
  <c r="D19" i="9"/>
  <c r="D12" i="9"/>
  <c r="D13" i="9"/>
  <c r="D14" i="9"/>
  <c r="D17" i="9"/>
  <c r="D20" i="9"/>
  <c r="D4" i="9"/>
  <c r="D5" i="9"/>
  <c r="D6" i="9"/>
  <c r="D8" i="9"/>
  <c r="D9" i="9"/>
  <c r="D10" i="9"/>
  <c r="D60" i="9"/>
  <c r="F67" i="9"/>
  <c r="F68" i="9"/>
  <c r="F69" i="9"/>
  <c r="F70" i="9"/>
  <c r="F71" i="9"/>
  <c r="F72" i="9"/>
  <c r="F101" i="9"/>
  <c r="F102" i="9"/>
  <c r="F103" i="9"/>
  <c r="F104" i="9"/>
  <c r="F105" i="9"/>
  <c r="F106" i="9"/>
  <c r="F54" i="9"/>
  <c r="F55" i="9"/>
  <c r="F56" i="9"/>
  <c r="F58" i="9"/>
  <c r="F53" i="9"/>
  <c r="F57" i="9"/>
  <c r="F59" i="9"/>
  <c r="F77" i="9"/>
  <c r="F78" i="9"/>
  <c r="F73" i="9"/>
  <c r="F74" i="9"/>
  <c r="F75" i="9"/>
  <c r="F76" i="9"/>
  <c r="F93" i="9"/>
  <c r="F86" i="9"/>
  <c r="F88" i="9"/>
  <c r="F89" i="9"/>
  <c r="F90" i="9"/>
  <c r="F91" i="9"/>
  <c r="F92" i="9"/>
  <c r="F87" i="9"/>
  <c r="F96" i="9"/>
  <c r="F98" i="9"/>
  <c r="F107" i="9"/>
  <c r="F82" i="9"/>
  <c r="F94" i="9"/>
  <c r="F95" i="9"/>
  <c r="F97" i="9"/>
  <c r="F99" i="9"/>
  <c r="F100" i="9"/>
  <c r="F79" i="9"/>
  <c r="F80" i="9"/>
  <c r="F81" i="9"/>
  <c r="F83" i="9"/>
  <c r="F84" i="9"/>
  <c r="F85" i="9"/>
  <c r="F41" i="9"/>
  <c r="F42" i="9"/>
  <c r="F43" i="9"/>
  <c r="F44" i="9"/>
  <c r="F45" i="9"/>
  <c r="F46" i="9"/>
  <c r="F47" i="9"/>
  <c r="F48" i="9"/>
  <c r="F49" i="9"/>
  <c r="F50" i="9"/>
  <c r="F51" i="9"/>
  <c r="F52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21" i="9"/>
  <c r="F22" i="9"/>
  <c r="F23" i="9"/>
  <c r="F24" i="9"/>
  <c r="F25" i="9"/>
  <c r="F26" i="9"/>
  <c r="F7" i="9"/>
  <c r="F11" i="9"/>
  <c r="F15" i="9"/>
  <c r="F16" i="9"/>
  <c r="F18" i="9"/>
  <c r="F19" i="9"/>
  <c r="F12" i="9"/>
  <c r="F13" i="9"/>
  <c r="F14" i="9"/>
  <c r="F17" i="9"/>
  <c r="F20" i="9"/>
  <c r="F4" i="9"/>
  <c r="F5" i="9"/>
  <c r="F6" i="9"/>
  <c r="F8" i="9"/>
  <c r="F9" i="9"/>
  <c r="F10" i="9"/>
  <c r="AL8" i="2"/>
  <c r="AL6" i="2"/>
  <c r="AL3" i="2"/>
  <c r="AL4" i="2"/>
  <c r="AL11" i="2"/>
  <c r="AL25" i="2"/>
  <c r="AL46" i="2"/>
  <c r="AL105" i="2"/>
  <c r="AL56" i="2"/>
  <c r="AL84" i="2"/>
  <c r="AL89" i="2"/>
  <c r="AL90" i="2"/>
  <c r="AL35" i="2"/>
  <c r="AL33" i="2"/>
  <c r="AL34" i="2"/>
  <c r="AL38" i="2"/>
  <c r="AL48" i="2"/>
  <c r="AL88" i="2"/>
  <c r="AL19" i="2"/>
  <c r="AL10" i="2"/>
  <c r="AL36" i="2"/>
  <c r="AL52" i="2"/>
  <c r="AL54" i="2"/>
  <c r="AL32" i="2"/>
  <c r="AL27" i="2"/>
  <c r="AL22" i="2"/>
  <c r="AL103" i="2"/>
  <c r="AL77" i="2"/>
  <c r="AL78" i="2"/>
  <c r="AL79" i="2"/>
  <c r="AL9" i="2"/>
  <c r="AL14" i="2"/>
  <c r="AL43" i="2"/>
  <c r="AL44" i="2"/>
  <c r="AL31" i="2"/>
  <c r="AL68" i="2"/>
  <c r="AL70" i="2"/>
  <c r="AL102" i="2"/>
  <c r="AL81" i="2"/>
  <c r="AL29" i="2"/>
  <c r="AL20" i="2"/>
  <c r="AL82" i="2"/>
  <c r="AL67" i="2"/>
  <c r="AL15" i="2"/>
  <c r="AL5" i="2"/>
  <c r="AL57" i="2"/>
  <c r="AL51" i="2"/>
  <c r="AL55" i="2"/>
  <c r="AL12" i="2"/>
  <c r="AL85" i="2"/>
  <c r="AL99" i="2"/>
  <c r="AL94" i="2"/>
  <c r="AL18" i="2"/>
  <c r="AL37" i="2"/>
  <c r="AL21" i="2"/>
  <c r="AL96" i="2"/>
  <c r="AL39" i="2"/>
  <c r="AL42" i="2"/>
  <c r="AL60" i="2"/>
  <c r="AL64" i="2"/>
  <c r="AL61" i="2"/>
  <c r="AL98" i="2"/>
  <c r="AL97" i="2"/>
  <c r="AL100" i="2"/>
  <c r="AL101" i="2"/>
  <c r="AL2" i="2"/>
  <c r="AL7" i="2"/>
  <c r="AL30" i="2"/>
  <c r="AL23" i="2"/>
  <c r="AL28" i="2"/>
  <c r="AL40" i="2"/>
  <c r="AL83" i="2"/>
  <c r="AL41" i="2"/>
  <c r="AL45" i="2"/>
  <c r="AL47" i="2"/>
  <c r="AL13" i="2"/>
  <c r="AL16" i="2"/>
  <c r="AL17" i="2"/>
  <c r="AL80" i="2"/>
  <c r="AL53" i="2"/>
  <c r="AL104" i="2"/>
  <c r="AL91" i="2"/>
  <c r="AL26" i="2"/>
  <c r="AL95" i="2"/>
  <c r="AL86" i="2"/>
  <c r="AL87" i="2"/>
  <c r="AL75" i="2"/>
  <c r="AL76" i="2"/>
  <c r="AL49" i="2"/>
  <c r="AL92" i="2"/>
  <c r="AL93" i="2"/>
  <c r="AL50" i="2"/>
  <c r="AL66" i="2"/>
  <c r="AL69" i="2"/>
  <c r="AL58" i="2"/>
  <c r="AL59" i="2"/>
  <c r="AL63" i="2"/>
  <c r="AL24" i="2"/>
  <c r="AL71" i="2"/>
  <c r="AL72" i="2"/>
  <c r="AL73" i="2"/>
  <c r="AL74" i="2"/>
  <c r="AL65" i="2"/>
  <c r="AL62" i="2"/>
  <c r="E4" i="14" l="1"/>
  <c r="I4" i="14" s="1"/>
  <c r="E5" i="14"/>
  <c r="I5" i="14" s="1"/>
  <c r="E6" i="14"/>
  <c r="I6" i="14" s="1"/>
  <c r="E7" i="14"/>
  <c r="I7" i="14" s="1"/>
  <c r="E8" i="14"/>
  <c r="I8" i="14" s="1"/>
  <c r="E9" i="14"/>
  <c r="I9" i="14" s="1"/>
  <c r="E11" i="14"/>
  <c r="I11" i="14" s="1"/>
  <c r="E12" i="14"/>
  <c r="I12" i="14" s="1"/>
  <c r="E13" i="14"/>
  <c r="I13" i="14" s="1"/>
  <c r="E14" i="14"/>
  <c r="I14" i="14" s="1"/>
  <c r="E16" i="14"/>
  <c r="I16" i="14" s="1"/>
  <c r="E17" i="14"/>
  <c r="I17" i="14" s="1"/>
  <c r="E18" i="14"/>
  <c r="I18" i="14" s="1"/>
  <c r="E20" i="14"/>
  <c r="I20" i="14" s="1"/>
  <c r="E21" i="14"/>
  <c r="I21" i="14" s="1"/>
  <c r="E23" i="14"/>
  <c r="I23" i="14" s="1"/>
  <c r="E24" i="14"/>
  <c r="I24" i="14" s="1"/>
  <c r="E27" i="14"/>
  <c r="I27" i="14" s="1"/>
  <c r="E28" i="14"/>
  <c r="I28" i="14" s="1"/>
  <c r="E30" i="14"/>
  <c r="I30" i="14" s="1"/>
  <c r="E31" i="14"/>
  <c r="I31" i="14" s="1"/>
  <c r="E33" i="14"/>
  <c r="I33" i="14" s="1"/>
  <c r="E34" i="14"/>
  <c r="I34" i="14" s="1"/>
  <c r="E36" i="14"/>
  <c r="I36" i="14" s="1"/>
  <c r="E37" i="14"/>
  <c r="I37" i="14" s="1"/>
  <c r="E39" i="14"/>
  <c r="I39" i="14" s="1"/>
  <c r="E40" i="14"/>
  <c r="I40" i="14" s="1"/>
  <c r="E41" i="14"/>
  <c r="I41" i="14" s="1"/>
  <c r="E43" i="14"/>
  <c r="I43" i="14" s="1"/>
  <c r="E44" i="14"/>
  <c r="I44" i="14" s="1"/>
  <c r="E46" i="14"/>
  <c r="I46" i="14" s="1"/>
  <c r="E47" i="14"/>
  <c r="I47" i="14" s="1"/>
  <c r="E49" i="14"/>
  <c r="I49" i="14" s="1"/>
  <c r="E52" i="14"/>
  <c r="I52" i="14" s="1"/>
  <c r="E53" i="14"/>
  <c r="I53" i="14" s="1"/>
  <c r="E55" i="14"/>
  <c r="I55" i="14" s="1"/>
  <c r="E56" i="14"/>
  <c r="I56" i="14" s="1"/>
  <c r="E58" i="14"/>
  <c r="I58" i="14" s="1"/>
  <c r="E59" i="14"/>
  <c r="I59" i="14" s="1"/>
  <c r="E61" i="14"/>
  <c r="I61" i="14" s="1"/>
  <c r="E62" i="14"/>
  <c r="I62" i="14" s="1"/>
  <c r="E63" i="14"/>
  <c r="I63" i="14" s="1"/>
  <c r="E65" i="14"/>
  <c r="I65" i="14" s="1"/>
  <c r="E66" i="14"/>
  <c r="I66" i="14" s="1"/>
  <c r="E68" i="14"/>
  <c r="I68" i="14" s="1"/>
  <c r="E69" i="14"/>
  <c r="I69" i="14" s="1"/>
  <c r="E71" i="14"/>
  <c r="I71" i="14" s="1"/>
  <c r="E72" i="14"/>
  <c r="I72" i="14" s="1"/>
  <c r="E74" i="14"/>
  <c r="I74" i="14" s="1"/>
  <c r="E75" i="14"/>
  <c r="I75" i="14" s="1"/>
  <c r="E77" i="14"/>
  <c r="I77" i="14" s="1"/>
  <c r="E78" i="14"/>
  <c r="I78" i="14" s="1"/>
  <c r="E80" i="14"/>
  <c r="I80" i="14" s="1"/>
  <c r="E81" i="14"/>
  <c r="I81" i="14" s="1"/>
  <c r="E83" i="14"/>
  <c r="I83" i="14" s="1"/>
  <c r="E84" i="14"/>
  <c r="I84" i="14" s="1"/>
  <c r="E86" i="14"/>
  <c r="I86" i="14" s="1"/>
  <c r="E87" i="14"/>
  <c r="I87" i="14" s="1"/>
  <c r="E89" i="14"/>
  <c r="I89" i="14" s="1"/>
  <c r="E90" i="14"/>
  <c r="I90" i="14" s="1"/>
  <c r="E92" i="14"/>
  <c r="I92" i="14" s="1"/>
  <c r="E93" i="14"/>
  <c r="I93" i="14" s="1"/>
  <c r="E95" i="14"/>
  <c r="I95" i="14" s="1"/>
  <c r="E96" i="14"/>
  <c r="I96" i="14" s="1"/>
  <c r="E98" i="14"/>
  <c r="I98" i="14" s="1"/>
  <c r="E99" i="14"/>
  <c r="I99" i="14" s="1"/>
  <c r="E101" i="14"/>
  <c r="I101" i="14" s="1"/>
  <c r="E103" i="14"/>
  <c r="I103" i="14" s="1"/>
  <c r="E104" i="14"/>
  <c r="I104" i="14" s="1"/>
  <c r="E106" i="14"/>
  <c r="I106" i="14" s="1"/>
  <c r="E107" i="14"/>
  <c r="I107" i="14" s="1"/>
  <c r="E109" i="14"/>
  <c r="I109" i="14" s="1"/>
  <c r="E110" i="14"/>
  <c r="I110" i="14" s="1"/>
  <c r="E112" i="14"/>
  <c r="I112" i="14" s="1"/>
  <c r="E115" i="14"/>
  <c r="I115" i="14" s="1"/>
  <c r="E116" i="14"/>
  <c r="I116" i="14" s="1"/>
  <c r="E117" i="14"/>
  <c r="I117" i="14" s="1"/>
  <c r="E119" i="14"/>
  <c r="I119" i="14" s="1"/>
  <c r="E120" i="14"/>
  <c r="I120" i="14" s="1"/>
  <c r="E122" i="14"/>
  <c r="I122" i="14" s="1"/>
  <c r="E123" i="14"/>
  <c r="I123" i="14" s="1"/>
  <c r="E125" i="14"/>
  <c r="I125" i="14" s="1"/>
  <c r="E126" i="14"/>
  <c r="I126" i="14" s="1"/>
  <c r="E128" i="14"/>
  <c r="I128" i="14" s="1"/>
  <c r="E129" i="14"/>
  <c r="I129" i="14" s="1"/>
  <c r="E130" i="14"/>
  <c r="I130" i="14" s="1"/>
  <c r="E132" i="14"/>
  <c r="I132" i="14" s="1"/>
  <c r="E133" i="14"/>
  <c r="I133" i="14" s="1"/>
  <c r="E134" i="14"/>
  <c r="I134" i="14" s="1"/>
  <c r="E136" i="14"/>
  <c r="I136" i="14" s="1"/>
  <c r="E137" i="14"/>
  <c r="I137" i="14" s="1"/>
  <c r="E139" i="14"/>
  <c r="I139" i="14" s="1"/>
  <c r="E140" i="14"/>
  <c r="I140" i="14" s="1"/>
  <c r="E141" i="14"/>
  <c r="I141" i="14" s="1"/>
  <c r="E143" i="14"/>
  <c r="I143" i="14" s="1"/>
  <c r="E144" i="14"/>
  <c r="I144" i="14" s="1"/>
  <c r="E146" i="14"/>
  <c r="I146" i="14" s="1"/>
  <c r="E147" i="14"/>
  <c r="I147" i="14" s="1"/>
  <c r="E151" i="14"/>
  <c r="I151" i="14" s="1"/>
  <c r="E152" i="14"/>
  <c r="I152" i="14" s="1"/>
  <c r="E154" i="14"/>
  <c r="I154" i="14" s="1"/>
  <c r="E155" i="14"/>
  <c r="I155" i="14" s="1"/>
  <c r="E157" i="14"/>
  <c r="I157" i="14" s="1"/>
  <c r="E158" i="14"/>
  <c r="I158" i="14" s="1"/>
  <c r="E160" i="14"/>
  <c r="I160" i="14" s="1"/>
  <c r="E162" i="14"/>
  <c r="I162" i="14" s="1"/>
  <c r="E163" i="14"/>
  <c r="I163" i="14" s="1"/>
  <c r="E164" i="14"/>
  <c r="I164" i="14" s="1"/>
  <c r="E166" i="14"/>
  <c r="I166" i="14" s="1"/>
  <c r="E167" i="14"/>
  <c r="I167" i="14" s="1"/>
  <c r="E169" i="14"/>
  <c r="I169" i="14" s="1"/>
  <c r="E170" i="14"/>
  <c r="I170" i="14" s="1"/>
  <c r="E172" i="14"/>
  <c r="I172" i="14" s="1"/>
  <c r="E174" i="14"/>
  <c r="I174" i="14" s="1"/>
  <c r="E175" i="14"/>
  <c r="I175" i="14" s="1"/>
  <c r="E177" i="14"/>
  <c r="I177" i="14" s="1"/>
  <c r="E179" i="14"/>
  <c r="I179" i="14" s="1"/>
  <c r="E180" i="14"/>
  <c r="I180" i="14" s="1"/>
  <c r="E181" i="14"/>
  <c r="I181" i="14" s="1"/>
  <c r="E183" i="14"/>
  <c r="I183" i="14" s="1"/>
  <c r="E185" i="14"/>
  <c r="I185" i="14" s="1"/>
  <c r="E186" i="14"/>
  <c r="I186" i="14" s="1"/>
  <c r="E188" i="14"/>
  <c r="I188" i="14" s="1"/>
  <c r="E189" i="14"/>
  <c r="I189" i="14" s="1"/>
  <c r="E190" i="14"/>
  <c r="I190" i="14" s="1"/>
  <c r="E191" i="14"/>
  <c r="I191" i="14" s="1"/>
  <c r="E193" i="14"/>
  <c r="I193" i="14" s="1"/>
  <c r="E195" i="14"/>
  <c r="I195" i="14" s="1"/>
  <c r="E196" i="14"/>
  <c r="I196" i="14" s="1"/>
  <c r="E197" i="14"/>
  <c r="I197" i="14" s="1"/>
  <c r="E199" i="14"/>
  <c r="I199" i="14" s="1"/>
  <c r="E200" i="14"/>
  <c r="I200" i="14" s="1"/>
  <c r="E233" i="14"/>
  <c r="I233" i="14" s="1"/>
  <c r="E235" i="14"/>
  <c r="I235" i="14" s="1"/>
  <c r="E236" i="14"/>
  <c r="I236" i="14" s="1"/>
  <c r="E238" i="14"/>
  <c r="I238" i="14" s="1"/>
  <c r="E239" i="14"/>
  <c r="I239" i="14" s="1"/>
  <c r="E240" i="14"/>
  <c r="I240" i="14" s="1"/>
  <c r="E242" i="14"/>
  <c r="I242" i="14" s="1"/>
  <c r="E243" i="14"/>
  <c r="I243" i="14" s="1"/>
  <c r="E245" i="14"/>
  <c r="I245" i="14" s="1"/>
  <c r="E246" i="14"/>
  <c r="I246" i="14" s="1"/>
  <c r="E248" i="14"/>
  <c r="I248" i="14" s="1"/>
  <c r="E249" i="14"/>
  <c r="I249" i="14" s="1"/>
  <c r="E251" i="14"/>
  <c r="I251" i="14" s="1"/>
  <c r="E252" i="14"/>
  <c r="I252" i="14" s="1"/>
  <c r="E254" i="14"/>
  <c r="I254" i="14" s="1"/>
  <c r="E255" i="14"/>
  <c r="I255" i="14" s="1"/>
  <c r="E256" i="14"/>
  <c r="I256" i="14" s="1"/>
  <c r="E258" i="14"/>
  <c r="I258" i="14" s="1"/>
  <c r="E259" i="14"/>
  <c r="I259" i="14" s="1"/>
  <c r="E261" i="14"/>
  <c r="I261" i="14" s="1"/>
  <c r="E262" i="14"/>
  <c r="I262" i="14" s="1"/>
  <c r="E264" i="14"/>
  <c r="I264" i="14" s="1"/>
  <c r="E265" i="14"/>
  <c r="I265" i="14" s="1"/>
  <c r="E266" i="14"/>
  <c r="I266" i="14" s="1"/>
  <c r="E268" i="14"/>
  <c r="I268" i="14" s="1"/>
  <c r="E269" i="14"/>
  <c r="I269" i="14" s="1"/>
  <c r="E271" i="14"/>
  <c r="I271" i="14" s="1"/>
  <c r="E272" i="14"/>
  <c r="I272" i="14" s="1"/>
  <c r="E274" i="14"/>
  <c r="I274" i="14" s="1"/>
  <c r="E276" i="14"/>
  <c r="I276" i="14" s="1"/>
  <c r="E277" i="14"/>
  <c r="I277" i="14" s="1"/>
  <c r="E278" i="14"/>
  <c r="I278" i="14" s="1"/>
  <c r="E280" i="14"/>
  <c r="I280" i="14" s="1"/>
  <c r="E281" i="14"/>
  <c r="I281" i="14" s="1"/>
  <c r="E283" i="14"/>
  <c r="I283" i="14" s="1"/>
  <c r="E284" i="14"/>
  <c r="I284" i="14" s="1"/>
  <c r="E286" i="14"/>
  <c r="I286" i="14" s="1"/>
  <c r="E287" i="14"/>
  <c r="I287" i="14" s="1"/>
  <c r="E288" i="14"/>
  <c r="I288" i="14" s="1"/>
  <c r="E290" i="14"/>
  <c r="I290" i="14" s="1"/>
  <c r="E3" i="14"/>
  <c r="I3" i="14" s="1"/>
  <c r="E10" i="14"/>
  <c r="I10" i="14" s="1"/>
  <c r="E15" i="14"/>
  <c r="I15" i="14" s="1"/>
  <c r="E19" i="14"/>
  <c r="I19" i="14" s="1"/>
  <c r="E22" i="14"/>
  <c r="I22" i="14" s="1"/>
  <c r="E26" i="14"/>
  <c r="I26" i="14" s="1"/>
  <c r="E29" i="14"/>
  <c r="I29" i="14" s="1"/>
  <c r="E32" i="14"/>
  <c r="I32" i="14" s="1"/>
  <c r="E35" i="14"/>
  <c r="I35" i="14" s="1"/>
  <c r="E38" i="14"/>
  <c r="I38" i="14" s="1"/>
  <c r="E42" i="14"/>
  <c r="I42" i="14" s="1"/>
  <c r="E45" i="14"/>
  <c r="I45" i="14" s="1"/>
  <c r="E48" i="14"/>
  <c r="I48" i="14" s="1"/>
  <c r="E50" i="14"/>
  <c r="I50" i="14" s="1"/>
  <c r="E51" i="14"/>
  <c r="I51" i="14" s="1"/>
  <c r="E54" i="14"/>
  <c r="I54" i="14" s="1"/>
  <c r="E57" i="14"/>
  <c r="I57" i="14" s="1"/>
  <c r="E60" i="14"/>
  <c r="I60" i="14" s="1"/>
  <c r="E64" i="14"/>
  <c r="I64" i="14" s="1"/>
  <c r="E67" i="14"/>
  <c r="I67" i="14" s="1"/>
  <c r="E70" i="14"/>
  <c r="I70" i="14" s="1"/>
  <c r="E73" i="14"/>
  <c r="I73" i="14" s="1"/>
  <c r="E76" i="14"/>
  <c r="I76" i="14" s="1"/>
  <c r="E79" i="14"/>
  <c r="I79" i="14" s="1"/>
  <c r="E82" i="14"/>
  <c r="I82" i="14" s="1"/>
  <c r="E85" i="14"/>
  <c r="I85" i="14" s="1"/>
  <c r="E88" i="14"/>
  <c r="I88" i="14" s="1"/>
  <c r="E91" i="14"/>
  <c r="I91" i="14" s="1"/>
  <c r="E94" i="14"/>
  <c r="I94" i="14" s="1"/>
  <c r="E97" i="14"/>
  <c r="I97" i="14" s="1"/>
  <c r="E100" i="14"/>
  <c r="I100" i="14" s="1"/>
  <c r="E102" i="14"/>
  <c r="I102" i="14" s="1"/>
  <c r="E105" i="14"/>
  <c r="I105" i="14" s="1"/>
  <c r="E108" i="14"/>
  <c r="I108" i="14" s="1"/>
  <c r="E111" i="14"/>
  <c r="I111" i="14" s="1"/>
  <c r="E113" i="14"/>
  <c r="I113" i="14" s="1"/>
  <c r="E118" i="14"/>
  <c r="I118" i="14" s="1"/>
  <c r="E121" i="14"/>
  <c r="I121" i="14" s="1"/>
  <c r="E124" i="14"/>
  <c r="I124" i="14" s="1"/>
  <c r="E127" i="14"/>
  <c r="I127" i="14" s="1"/>
  <c r="E131" i="14"/>
  <c r="I131" i="14" s="1"/>
  <c r="E135" i="14"/>
  <c r="I135" i="14" s="1"/>
  <c r="E138" i="14"/>
  <c r="I138" i="14" s="1"/>
  <c r="E142" i="14"/>
  <c r="I142" i="14" s="1"/>
  <c r="E145" i="14"/>
  <c r="I145" i="14" s="1"/>
  <c r="E148" i="14"/>
  <c r="I148" i="14" s="1"/>
  <c r="E149" i="14"/>
  <c r="I149" i="14" s="1"/>
  <c r="E150" i="14"/>
  <c r="I150" i="14" s="1"/>
  <c r="E153" i="14"/>
  <c r="I153" i="14" s="1"/>
  <c r="E156" i="14"/>
  <c r="I156" i="14" s="1"/>
  <c r="E159" i="14"/>
  <c r="I159" i="14" s="1"/>
  <c r="E161" i="14"/>
  <c r="I161" i="14" s="1"/>
  <c r="E165" i="14"/>
  <c r="I165" i="14" s="1"/>
  <c r="E168" i="14"/>
  <c r="I168" i="14" s="1"/>
  <c r="E171" i="14"/>
  <c r="I171" i="14" s="1"/>
  <c r="E173" i="14"/>
  <c r="I173" i="14" s="1"/>
  <c r="E176" i="14"/>
  <c r="I176" i="14" s="1"/>
  <c r="E178" i="14"/>
  <c r="I178" i="14" s="1"/>
  <c r="E182" i="14"/>
  <c r="I182" i="14" s="1"/>
  <c r="E184" i="14"/>
  <c r="I184" i="14" s="1"/>
  <c r="E187" i="14"/>
  <c r="I187" i="14" s="1"/>
  <c r="E192" i="14"/>
  <c r="I192" i="14" s="1"/>
  <c r="E194" i="14"/>
  <c r="I194" i="14" s="1"/>
  <c r="E198" i="14"/>
  <c r="I198" i="14" s="1"/>
  <c r="E201" i="14"/>
  <c r="I201" i="14" s="1"/>
  <c r="E234" i="14"/>
  <c r="I234" i="14" s="1"/>
  <c r="E237" i="14"/>
  <c r="I237" i="14" s="1"/>
  <c r="E241" i="14"/>
  <c r="I241" i="14" s="1"/>
  <c r="E244" i="14"/>
  <c r="I244" i="14" s="1"/>
  <c r="E247" i="14"/>
  <c r="I247" i="14" s="1"/>
  <c r="E250" i="14"/>
  <c r="I250" i="14" s="1"/>
  <c r="E253" i="14"/>
  <c r="I253" i="14" s="1"/>
  <c r="E257" i="14"/>
  <c r="I257" i="14" s="1"/>
  <c r="E260" i="14"/>
  <c r="I260" i="14" s="1"/>
  <c r="E263" i="14"/>
  <c r="I263" i="14" s="1"/>
  <c r="E267" i="14"/>
  <c r="I267" i="14" s="1"/>
  <c r="E270" i="14"/>
  <c r="I270" i="14" s="1"/>
  <c r="E273" i="14"/>
  <c r="I273" i="14" s="1"/>
  <c r="E275" i="14"/>
  <c r="I275" i="14" s="1"/>
  <c r="E279" i="14"/>
  <c r="I279" i="14" s="1"/>
  <c r="E282" i="14"/>
  <c r="I282" i="14" s="1"/>
  <c r="E285" i="14"/>
  <c r="I285" i="14" s="1"/>
  <c r="E289" i="14"/>
  <c r="I289" i="14" s="1"/>
  <c r="E25" i="14"/>
  <c r="I25" i="14" s="1"/>
  <c r="E114" i="14"/>
  <c r="I114" i="14" s="1"/>
  <c r="E202" i="14"/>
  <c r="I202" i="14" s="1"/>
  <c r="E203" i="14"/>
  <c r="I203" i="14" s="1"/>
  <c r="E204" i="14"/>
  <c r="I204" i="14" s="1"/>
  <c r="E205" i="14"/>
  <c r="I205" i="14" s="1"/>
  <c r="E206" i="14"/>
  <c r="I206" i="14" s="1"/>
  <c r="E207" i="14"/>
  <c r="I207" i="14" s="1"/>
  <c r="E208" i="14"/>
  <c r="I208" i="14" s="1"/>
  <c r="E209" i="14"/>
  <c r="I209" i="14" s="1"/>
  <c r="E210" i="14"/>
  <c r="I210" i="14" s="1"/>
  <c r="E211" i="14"/>
  <c r="I211" i="14" s="1"/>
  <c r="E212" i="14"/>
  <c r="I212" i="14" s="1"/>
  <c r="E213" i="14"/>
  <c r="I213" i="14" s="1"/>
  <c r="E214" i="14"/>
  <c r="I214" i="14" s="1"/>
  <c r="E215" i="14"/>
  <c r="I215" i="14" s="1"/>
  <c r="E216" i="14"/>
  <c r="I216" i="14" s="1"/>
  <c r="E217" i="14"/>
  <c r="I217" i="14" s="1"/>
  <c r="E218" i="14"/>
  <c r="I218" i="14" s="1"/>
  <c r="E219" i="14"/>
  <c r="I219" i="14" s="1"/>
  <c r="E220" i="14"/>
  <c r="I220" i="14" s="1"/>
  <c r="E221" i="14"/>
  <c r="I221" i="14" s="1"/>
  <c r="E222" i="14"/>
  <c r="I222" i="14" s="1"/>
  <c r="E223" i="14"/>
  <c r="I223" i="14" s="1"/>
  <c r="E224" i="14"/>
  <c r="I224" i="14" s="1"/>
  <c r="E225" i="14"/>
  <c r="I225" i="14" s="1"/>
  <c r="E226" i="14"/>
  <c r="I226" i="14" s="1"/>
  <c r="E227" i="14"/>
  <c r="I227" i="14" s="1"/>
  <c r="E228" i="14"/>
  <c r="I228" i="14" s="1"/>
  <c r="E229" i="14"/>
  <c r="I229" i="14" s="1"/>
  <c r="E230" i="14"/>
  <c r="I230" i="14" s="1"/>
  <c r="E231" i="14"/>
  <c r="I231" i="14" s="1"/>
  <c r="E232" i="14"/>
  <c r="I232" i="14" s="1"/>
  <c r="E291" i="14"/>
  <c r="I291" i="14" s="1"/>
  <c r="E292" i="14"/>
  <c r="I292" i="14" s="1"/>
  <c r="E293" i="14"/>
  <c r="I293" i="14" s="1"/>
  <c r="E294" i="14"/>
  <c r="I294" i="14" s="1"/>
  <c r="E295" i="14"/>
  <c r="I295" i="14" s="1"/>
  <c r="E296" i="14"/>
  <c r="I296" i="14" s="1"/>
  <c r="E297" i="14"/>
  <c r="I297" i="14" s="1"/>
  <c r="E298" i="14"/>
  <c r="I298" i="14" s="1"/>
  <c r="E299" i="14"/>
  <c r="I299" i="14" s="1"/>
  <c r="E300" i="14"/>
  <c r="I300" i="14" s="1"/>
  <c r="E301" i="14"/>
  <c r="I301" i="14" s="1"/>
  <c r="E302" i="14"/>
  <c r="I302" i="14" s="1"/>
  <c r="E303" i="14"/>
  <c r="I303" i="14" s="1"/>
  <c r="E304" i="14"/>
  <c r="I304" i="14" s="1"/>
  <c r="E305" i="14"/>
  <c r="I305" i="14" s="1"/>
  <c r="E306" i="14"/>
  <c r="I306" i="14" s="1"/>
  <c r="E307" i="14"/>
  <c r="I307" i="14" s="1"/>
  <c r="E308" i="14"/>
  <c r="I308" i="14" s="1"/>
  <c r="E309" i="14"/>
  <c r="I309" i="14" s="1"/>
  <c r="E310" i="14"/>
  <c r="I310" i="14" s="1"/>
  <c r="E311" i="14"/>
  <c r="I311" i="14" s="1"/>
  <c r="E2" i="14"/>
  <c r="I2" i="14" s="1"/>
  <c r="F3" i="9"/>
  <c r="H3" i="9"/>
  <c r="L3" i="9"/>
  <c r="U12" i="9"/>
  <c r="U33" i="9"/>
  <c r="U84" i="9"/>
  <c r="U86" i="9"/>
  <c r="U101" i="9"/>
  <c r="U20" i="9"/>
  <c r="U37" i="9"/>
  <c r="U43" i="9"/>
  <c r="U91" i="9"/>
  <c r="U105" i="9"/>
  <c r="U8" i="9"/>
  <c r="U21" i="9"/>
  <c r="U47" i="9"/>
  <c r="U98" i="9"/>
  <c r="U56" i="9"/>
  <c r="U61" i="9"/>
  <c r="T3" i="9"/>
  <c r="U40" i="9"/>
  <c r="U6" i="9"/>
  <c r="N3" i="9"/>
  <c r="R3" i="9"/>
  <c r="J3" i="9"/>
  <c r="P3" i="9"/>
  <c r="U24" i="9"/>
  <c r="U82" i="9"/>
  <c r="U48" i="9"/>
  <c r="U17" i="9"/>
  <c r="U35" i="9"/>
  <c r="U89" i="9"/>
  <c r="U5" i="9"/>
  <c r="U87" i="9"/>
  <c r="U65" i="9"/>
  <c r="U13" i="9"/>
  <c r="U34" i="9"/>
  <c r="U88" i="9"/>
  <c r="U102" i="9"/>
  <c r="U38" i="9"/>
  <c r="U44" i="9"/>
  <c r="U106" i="9"/>
  <c r="U11" i="9"/>
  <c r="U28" i="9"/>
  <c r="U73" i="9"/>
  <c r="U25" i="9"/>
  <c r="U51" i="9"/>
  <c r="U95" i="9"/>
  <c r="U59" i="9"/>
  <c r="U60" i="9"/>
  <c r="U57" i="9"/>
  <c r="U10" i="9"/>
  <c r="U63" i="9"/>
  <c r="U22" i="9"/>
  <c r="U107" i="9"/>
  <c r="U93" i="9"/>
  <c r="U90" i="9"/>
  <c r="U96" i="9"/>
  <c r="U41" i="9"/>
  <c r="U39" i="9"/>
  <c r="U54" i="9"/>
  <c r="U85" i="9"/>
  <c r="U4" i="9"/>
  <c r="U92" i="9"/>
  <c r="U100" i="9"/>
  <c r="U68" i="9"/>
  <c r="U94" i="9"/>
  <c r="U23" i="9"/>
  <c r="U50" i="9"/>
  <c r="U53" i="9"/>
  <c r="U9" i="9"/>
  <c r="U62" i="9"/>
  <c r="U19" i="9"/>
  <c r="U32" i="9"/>
  <c r="U72" i="9"/>
  <c r="U42" i="9"/>
  <c r="U46" i="9"/>
  <c r="U103" i="9"/>
  <c r="U64" i="9"/>
  <c r="U49" i="9"/>
  <c r="U58" i="9"/>
  <c r="U83" i="9"/>
  <c r="U36" i="9"/>
  <c r="U104" i="9"/>
  <c r="U55" i="9"/>
  <c r="U14" i="9"/>
  <c r="U45" i="9"/>
  <c r="U31" i="9"/>
  <c r="U76" i="9"/>
  <c r="U15" i="9"/>
  <c r="U79" i="9"/>
  <c r="U69" i="9"/>
  <c r="U30" i="9"/>
  <c r="U75" i="9"/>
  <c r="U7" i="9"/>
  <c r="U27" i="9"/>
  <c r="U99" i="9"/>
  <c r="U78" i="9"/>
  <c r="U67" i="9"/>
  <c r="U18" i="9"/>
  <c r="U81" i="9"/>
  <c r="U71" i="9"/>
  <c r="U29" i="9"/>
  <c r="U74" i="9"/>
  <c r="U16" i="9"/>
  <c r="U80" i="9"/>
  <c r="U70" i="9"/>
  <c r="U26" i="9"/>
  <c r="U52" i="9"/>
  <c r="U97" i="9"/>
  <c r="U77" i="9"/>
  <c r="U66" i="9"/>
  <c r="D3" i="9"/>
  <c r="U3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D9A456-43E2-4845-BBA8-9C0FC2DDE214}" keepAlive="1" name="Query - group_data_final" description="Connection to the 'group_data_final' query in the workbook." type="5" refreshedVersion="8" background="1" saveData="1">
    <dbPr connection="Provider=Microsoft.Mashup.OleDb.1;Data Source=$Workbook$;Location=group_data_final;Extended Properties=&quot;&quot;" command="SELECT * FROM [group_data_fina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<sst xmlns="http://schemas.openxmlformats.org/spreadsheetml/2006/main" count="1657" uniqueCount="531">
  <si>
    <t>division_name</t>
  </si>
  <si>
    <t>district_name</t>
  </si>
  <si>
    <t>depot_code</t>
  </si>
  <si>
    <t>length_to2</t>
  </si>
  <si>
    <t>veh_total</t>
  </si>
  <si>
    <t>avg_iri</t>
  </si>
  <si>
    <t>length_ac</t>
  </si>
  <si>
    <t>lanemin_ac</t>
  </si>
  <si>
    <t>lanemax_ac</t>
  </si>
  <si>
    <t>laneavg_ac</t>
  </si>
  <si>
    <t>pavewidthavg_ac</t>
  </si>
  <si>
    <t>shoulderwidthavg_ac</t>
  </si>
  <si>
    <t>length_cc</t>
  </si>
  <si>
    <t>lanemin_cc</t>
  </si>
  <si>
    <t>lanemax_cc</t>
  </si>
  <si>
    <t>laneavg_cc</t>
  </si>
  <si>
    <t>pavewidthavg_cc</t>
  </si>
  <si>
    <t>shoulderwidthavg_cc</t>
  </si>
  <si>
    <t>bicyclelane_sqm</t>
  </si>
  <si>
    <t>rest_area_sqm</t>
  </si>
  <si>
    <t>sidewalk_sqm</t>
  </si>
  <si>
    <t>retainingwall_sqm</t>
  </si>
  <si>
    <t>roadmarking_sqm</t>
  </si>
  <si>
    <t>road_medians_m</t>
  </si>
  <si>
    <t>elevation_mean</t>
  </si>
  <si>
    <t>elevation_var</t>
  </si>
  <si>
    <t>slope_mean</t>
  </si>
  <si>
    <t>slope_var</t>
  </si>
  <si>
    <t>ค่าบำรุงตามระยะทางต่อ 2 ช่องจราจร</t>
  </si>
  <si>
    <t>ค่าบำรุงทรัพย์สิน</t>
  </si>
  <si>
    <t>จำนวนจุดกางเต็นท์</t>
  </si>
  <si>
    <t>ค่าบำรุงจุดกางเต็นท์</t>
  </si>
  <si>
    <t>จำนวนจุดพักรถ</t>
  </si>
  <si>
    <t>ค่าบำรุงจุดพักรถ</t>
  </si>
  <si>
    <t>จำนวนภูมิสถาปัตย์</t>
  </si>
  <si>
    <t>ค่าบำรุงภูมิสถาปัตย์</t>
  </si>
  <si>
    <t>พื้นที่ฝนชุก</t>
  </si>
  <si>
    <t>สำนักงานทางหลวงที่ 18 (สงขลา)</t>
  </si>
  <si>
    <t>ขท.สงขลาที่ 1</t>
  </si>
  <si>
    <t>ขท.ยะลา</t>
  </si>
  <si>
    <t>ขท.ปัตตานี</t>
  </si>
  <si>
    <t>สำนักงานทางหลวงที่ 16 (นครศรีธรรมราช)</t>
  </si>
  <si>
    <t>ขท.พัทลุง</t>
  </si>
  <si>
    <t>ขท.นราธิวาส</t>
  </si>
  <si>
    <t>ขท.สตูล</t>
  </si>
  <si>
    <t>ขท.สงขลาที่ 2 (นาหม่อม)</t>
  </si>
  <si>
    <t>ขท.นครศรีธรรมราชที่ 1</t>
  </si>
  <si>
    <t>สำนักงานทางหลวงที่ 17 (กระบี่)</t>
  </si>
  <si>
    <t>ขท.ตรัง</t>
  </si>
  <si>
    <t>ขท.กระบี่</t>
  </si>
  <si>
    <t>ขท.ภูเก็ต</t>
  </si>
  <si>
    <t xml:space="preserve">ขท.สุราษฎร์ธานีที่ 1 </t>
  </si>
  <si>
    <t>ขท.นครศรีธรรมราชที่ 2 (ทุ่งสง)</t>
  </si>
  <si>
    <t>ขท.พังงา</t>
  </si>
  <si>
    <t>ขท.สุราษฎร์ธานีที่ 2 (กาญจนดิษฐ์)</t>
  </si>
  <si>
    <t>ขท.สุราษฎร์ธานีที่ 3 (เวียงสระ)</t>
  </si>
  <si>
    <t>ขท.ระนอง</t>
  </si>
  <si>
    <t>สำนักงานทางหลวงที่ 15 (ประจวบคีรีขันธ์)</t>
  </si>
  <si>
    <t>ขท.ชุมพร</t>
  </si>
  <si>
    <t>ขท.ประจวบคีรีขันธ์ (หัวหิน)</t>
  </si>
  <si>
    <t>ขท.ราชบุรี</t>
  </si>
  <si>
    <t>ขท.นครปฐม</t>
  </si>
  <si>
    <t>ขท.สมุทรสงคราม</t>
  </si>
  <si>
    <t>ขท.เพชรบุรี</t>
  </si>
  <si>
    <t>สำนักงานทางหลวงที่ 13 (กรุงเทพ)</t>
  </si>
  <si>
    <t>ขท.กรุงเทพ</t>
  </si>
  <si>
    <t>ขท.อยุธยา</t>
  </si>
  <si>
    <t>ขท.นครนายก</t>
  </si>
  <si>
    <t>ขท.สมุทรสาคร</t>
  </si>
  <si>
    <t>ขท.ปทุมธานี</t>
  </si>
  <si>
    <t>ขท.สมุทรปราการ</t>
  </si>
  <si>
    <t>ขท.นนทบุรี</t>
  </si>
  <si>
    <t>ขท.ธนบุรี</t>
  </si>
  <si>
    <t>สำนักงานทางหลวงที่ 14 (ชลบุรี)</t>
  </si>
  <si>
    <t>ขท.ฉะเชิงเทรา</t>
  </si>
  <si>
    <t>ขท.ชลบุรีที่ 1</t>
  </si>
  <si>
    <t>ขท.จันทบุรี</t>
  </si>
  <si>
    <t>ขท.ตราด</t>
  </si>
  <si>
    <t>ขท.ระยอง</t>
  </si>
  <si>
    <t>ขท.ชลบุรีที่ 2</t>
  </si>
  <si>
    <t>สำนักงานทางหลวงที่ 11 (ลพบุรี)</t>
  </si>
  <si>
    <t>ขท.ลพบุรีที่ 1</t>
  </si>
  <si>
    <t>ขท.สระบุรี</t>
  </si>
  <si>
    <t>ขท.สิงห์บุรี</t>
  </si>
  <si>
    <t>ขท.ลพบุรีที่ 2 (ลำนารายณ์)</t>
  </si>
  <si>
    <t>ขท.นครสวรรค์ที่ 1</t>
  </si>
  <si>
    <t>ขท.นครสวรรค์ที่ 2 (ตากฟ้า)</t>
  </si>
  <si>
    <t>สำนักงานทางหลวงที่ 12 (สุพรรณบุรี)</t>
  </si>
  <si>
    <t>ขท.สุพรรณบุรีที่ 1</t>
  </si>
  <si>
    <t>ขท.กาญจนบุรี</t>
  </si>
  <si>
    <t>ขท.สุพรรณบุรีที่ 2 (อู่ทอง)</t>
  </si>
  <si>
    <t>ขท.ชัยนาท</t>
  </si>
  <si>
    <t>ขท.อุทัยธานี</t>
  </si>
  <si>
    <t>ขท.อ่างทอง</t>
  </si>
  <si>
    <t>สำนักงานทางหลวงที่ 5 (พิษณุโลก)</t>
  </si>
  <si>
    <t>ขท.พิษณุโลกที่ 1</t>
  </si>
  <si>
    <t>สำนักงานทางหลวงที่ 4 (ตาก)</t>
  </si>
  <si>
    <t>ขท.ตากที่ 1</t>
  </si>
  <si>
    <t>ขท.สุโขทัย</t>
  </si>
  <si>
    <t>ขท.ตากที่ 2 (แม่สอด)</t>
  </si>
  <si>
    <t>ขท.พิษณุโลกที่ 2 (วังทอง)</t>
  </si>
  <si>
    <t>ขท.กำแพงเพชร</t>
  </si>
  <si>
    <t>ขท.พิจิตร</t>
  </si>
  <si>
    <t>สำนักงานทางหลวงที่ 1 (เชียงใหม่)</t>
  </si>
  <si>
    <t>ขท.เชียงใหม่ที่ 1</t>
  </si>
  <si>
    <t>ขท.เชียงใหม่ที่ 2</t>
  </si>
  <si>
    <t>ขท.ลำปางที่ 1</t>
  </si>
  <si>
    <t>ขท.ลำพูน</t>
  </si>
  <si>
    <t>ขท.แม่ฮ่องสอน</t>
  </si>
  <si>
    <t>ขท.เชียงใหม่ที่ 3</t>
  </si>
  <si>
    <t>ขท.ลำปางที่ 2</t>
  </si>
  <si>
    <t>สำนักงานทางหลวงที่ 2 (แพร่)</t>
  </si>
  <si>
    <t>ขท.แพร่</t>
  </si>
  <si>
    <t>ขท.เชียงรายที่ 1</t>
  </si>
  <si>
    <t>ขท.พะเยา</t>
  </si>
  <si>
    <t>ขท.น่านที่ 1</t>
  </si>
  <si>
    <t>ขท.เชียงรายที่ 2</t>
  </si>
  <si>
    <t>ขท.น่านที่ 2</t>
  </si>
  <si>
    <t>สำนักงานทางหลวงที่ 6 (เพชรบูรณ์)</t>
  </si>
  <si>
    <t>ขท.เพชรบูรณ์ที่ 1</t>
  </si>
  <si>
    <t>ขท.เพชรบูรณ์ที่ 2 (บึงสามพัน)</t>
  </si>
  <si>
    <t>ขท.เลยที่ 1</t>
  </si>
  <si>
    <t>ขท.เลยที่ 2 (ด่านซ้าย)</t>
  </si>
  <si>
    <t>ขท.อุตรดิตถ์ที่ 1</t>
  </si>
  <si>
    <t>ขท.อุตรดิตถ์ที่ 2</t>
  </si>
  <si>
    <t>สำนักงานทางหลวงที่ 10 (นครราชสีมา)</t>
  </si>
  <si>
    <t>ขท.นครราชสีมาที่ 1</t>
  </si>
  <si>
    <t>ขท.นครราชสีมาที่ 2</t>
  </si>
  <si>
    <t>ขท.นครราชสีมาที่ 3</t>
  </si>
  <si>
    <t>สำนักงานทางหลวงที่ 9 (อุบลราชธานี)</t>
  </si>
  <si>
    <t>ขท.สุรินทร์</t>
  </si>
  <si>
    <t>ขท.บุรีรัมย์</t>
  </si>
  <si>
    <t>ขท.ปราจีนบุรี</t>
  </si>
  <si>
    <t>ขท.สระแก้ว (วัฒนานคร)</t>
  </si>
  <si>
    <t>สำนักงานทางหลวงที่ 7 (ขอนแก่น)</t>
  </si>
  <si>
    <t>ขท.ขอนแก่นที่ 1</t>
  </si>
  <si>
    <t>สำนักงานทางหลวงที่ 8 (มหาสารคาม)</t>
  </si>
  <si>
    <t>ขท.มหาสารคาม</t>
  </si>
  <si>
    <t>ขท.อุดรธานีที่ 1</t>
  </si>
  <si>
    <t>ขท.อุดรธานีที่ 2 (หนองหาน)</t>
  </si>
  <si>
    <t>ขท.ชัยภูมิ</t>
  </si>
  <si>
    <t>ขท.ขอนแก่นที่ 2 (ชุมแพ)</t>
  </si>
  <si>
    <t>ขท.ขอนแก่นที่ 3 (บ้านไผ่)</t>
  </si>
  <si>
    <t>ขท.หนองบัวลำภู</t>
  </si>
  <si>
    <t>ขท.อุบลราชธานีที่ 1</t>
  </si>
  <si>
    <t>ขท.อุบลราชธานีที่ 2</t>
  </si>
  <si>
    <t>ขท.ยโสธร</t>
  </si>
  <si>
    <t>ขท.อำนาจเจริญ</t>
  </si>
  <si>
    <t>ขท.ร้อยเอ็ด</t>
  </si>
  <si>
    <t>ขท.ศรีสะเกษที่ 2</t>
  </si>
  <si>
    <t>ขท.ศรีสะเกษที่ 1</t>
  </si>
  <si>
    <t>สำนักงานทางหลวงที่ 3 (สกลนคร)</t>
  </si>
  <si>
    <t>ขท.มุกดาหาร</t>
  </si>
  <si>
    <t>ขท.สกลนครที่ 1</t>
  </si>
  <si>
    <t>ขท.สกลนครที่ 2 (สว่างแดนดิน)</t>
  </si>
  <si>
    <t>ขท.บึงกาฬ</t>
  </si>
  <si>
    <t>ขท.นครพนม</t>
  </si>
  <si>
    <t>ขท.หนองคาย</t>
  </si>
  <si>
    <t>ขท.กาฬสินธุ์</t>
  </si>
  <si>
    <t>รหัส</t>
  </si>
  <si>
    <t>หน่วยงาน</t>
  </si>
  <si>
    <t>จำนวนจุดกางเต็น</t>
  </si>
  <si>
    <t>ค่าบำรุงจุดกางเต็น</t>
  </si>
  <si>
    <t>จำนวนภูมิสถาปัต</t>
  </si>
  <si>
    <t>ค่าบำรุงภูมิสถาปัต</t>
  </si>
  <si>
    <t>ราคาจุดกางเต้น</t>
  </si>
  <si>
    <t>แขวงทางหลวงบุรีรัมย์</t>
  </si>
  <si>
    <t>-</t>
  </si>
  <si>
    <t>ราคาจุดพักรถ</t>
  </si>
  <si>
    <t>แขวงทางหลวงสุรินทร์</t>
  </si>
  <si>
    <t>ราคาภูมิสถาปัต</t>
  </si>
  <si>
    <t>แขวงทางหลวงนครราชสีมาที่ 2</t>
  </si>
  <si>
    <t>แขวงทางหลวงนครราชสีมาที่ 1</t>
  </si>
  <si>
    <t>แขวงทางหลวงสระบุรี</t>
  </si>
  <si>
    <t>แขวงทางหลวงฉะเชิงเทรา</t>
  </si>
  <si>
    <t>แขวงทางหลวงเชียงรายที่ 1</t>
  </si>
  <si>
    <t>แขวงทางหลวงสมุทรปราการ</t>
  </si>
  <si>
    <t>แขวงทางหลวงกาญจนบุรี</t>
  </si>
  <si>
    <t>แขวงทางหลวงชลบุรีที่ 2</t>
  </si>
  <si>
    <t>แขวงทางหลวงอยุธยา</t>
  </si>
  <si>
    <t>แขวงทางหลวงสระแก้ว</t>
  </si>
  <si>
    <t>แขวงทางหลวงเชียงรายที่ 2</t>
  </si>
  <si>
    <t>แขวงทางหลวงสุพรรณบุรีที่ 2</t>
  </si>
  <si>
    <t>แขวงทางหลวงระยอง</t>
  </si>
  <si>
    <t>แขวงทางหลวงเพชรบูรณ์ที่ 1</t>
  </si>
  <si>
    <t>แขวงทางหลวงนครราชสีมาที่ 3</t>
  </si>
  <si>
    <t>แขวงทางหลวงเชียงใหม่ที่ 2</t>
  </si>
  <si>
    <t>แขวงทางหลวงสุโขทัย</t>
  </si>
  <si>
    <t>แขวงทางหลวงปราจีนบุรี</t>
  </si>
  <si>
    <t>แขวงทางหลวงกาฬสินธุ์</t>
  </si>
  <si>
    <t>แขวงทางหลวงสุพรรณบุรีที่ 1</t>
  </si>
  <si>
    <t>แขวงทางหลวงนนทบุรี</t>
  </si>
  <si>
    <t>แขวงทางหลวงมหาสารคาม</t>
  </si>
  <si>
    <t>แขวงทางหลวงนครสวรรค์ที่ 1</t>
  </si>
  <si>
    <t>แขวงทางหลวงกรุงเทพ</t>
  </si>
  <si>
    <t>แขวงทางหลวงปทุมธานี</t>
  </si>
  <si>
    <t>แขวงทางหลวงกำแพงเพชร</t>
  </si>
  <si>
    <t>แขวงทางหลวงชลบุรีที่ 1</t>
  </si>
  <si>
    <t>แขวงทางหลวงลพบุรีที่ 1</t>
  </si>
  <si>
    <t>แขวงทางหลวงแพร่</t>
  </si>
  <si>
    <t>แขวงทางหลวงร้อยเอ็ด</t>
  </si>
  <si>
    <t>แขวงทางหลวงนราธิวาส</t>
  </si>
  <si>
    <t>แขวงทางหลวงนครพนม</t>
  </si>
  <si>
    <t>แขวงทางหลวงนครศรีธรรมราชที่ 1</t>
  </si>
  <si>
    <t>แขวงทางหลวงชัยภูมิ</t>
  </si>
  <si>
    <t>แขวงทางหลวงสุราษฎร์ธานีที่ 1</t>
  </si>
  <si>
    <t>แขวงทางหลวงพิษณุโลกที่ 2</t>
  </si>
  <si>
    <t>แขวงทางหลวงตากที่ 2</t>
  </si>
  <si>
    <t>แขวงทางหลวงลำปางที่ 1</t>
  </si>
  <si>
    <t>แขวงทางหลวงตากที่ 1</t>
  </si>
  <si>
    <t>แขวงทางหลวงสมุทรสาคร</t>
  </si>
  <si>
    <t>แขวงทางหลวงนครศรีธรรมราชที่ 2</t>
  </si>
  <si>
    <t>แขวงทางหลวงนครสวรรค์ที่ 2</t>
  </si>
  <si>
    <t>แขวงทางหลวงตรัง</t>
  </si>
  <si>
    <t>แขวงทางหลวงสงขลาที่ 1</t>
  </si>
  <si>
    <t>แขวงทางหลวงพิษณุโลกที่ 1</t>
  </si>
  <si>
    <t>แขวงทางหลวงเลยที่ 1</t>
  </si>
  <si>
    <t>แขวงทางหลวงจันทบุรี</t>
  </si>
  <si>
    <t>แขวงทางหลวงประจวบคีรีขันธ์</t>
  </si>
  <si>
    <t>แขวงทางหลวงพิจิตร</t>
  </si>
  <si>
    <t>แขวงทางหลวงเชียงใหม่ที่ 1</t>
  </si>
  <si>
    <t>แขวงทางหลวงเชียงใหม่ที่ 3</t>
  </si>
  <si>
    <t>แขวงทางหลวงอำนาจเจริญ</t>
  </si>
  <si>
    <t>แขวงทางหลวงพะเยา</t>
  </si>
  <si>
    <t>แขวงทางหลวงสกลนครที่ 1</t>
  </si>
  <si>
    <t>แขวงทางหลวงเพชรบูรณ์ที่ 2</t>
  </si>
  <si>
    <t>แขวงทางหลวงเพชรบุรี</t>
  </si>
  <si>
    <t>แขวงทางหลวงลพบุรีที่ 2</t>
  </si>
  <si>
    <t>แขวงทางหลวงศรีสะเกษที่ 1</t>
  </si>
  <si>
    <t>แขวงทางหลวงมุกดาหาร</t>
  </si>
  <si>
    <t>แขวงทางหลวงภูเก็ต</t>
  </si>
  <si>
    <t>แขวงทางหลวงกระบี่</t>
  </si>
  <si>
    <t>แขวงทางหลวงยโสธร</t>
  </si>
  <si>
    <t>แขวงทางหลวงขอนแก่นที่ 2</t>
  </si>
  <si>
    <t>แขวงทางหลวงลำปางที่ 2</t>
  </si>
  <si>
    <t>แขวงทางหลวงอุดรธานีที่ 1</t>
  </si>
  <si>
    <t>แขวงทางหลวงนครปฐม</t>
  </si>
  <si>
    <t>แขวงทางหลวงน่านที่ 1</t>
  </si>
  <si>
    <t>แขวงทางหลวงราชบุรี</t>
  </si>
  <si>
    <t>แขวงทางหลวงธนบุรี</t>
  </si>
  <si>
    <t>แขวงทางหลวงชุมพร</t>
  </si>
  <si>
    <t>แขวงทางหลวงหนองคาย</t>
  </si>
  <si>
    <t>แขวงทางหลวงขอนแก่นที่ 1</t>
  </si>
  <si>
    <t>แขวงทางหลวงชัยนาท</t>
  </si>
  <si>
    <t>แขวงทางหลวงสุราษฎร์ธานีที่ 3</t>
  </si>
  <si>
    <t>แขวงทางหลวงศรีสะเกษที่ 2</t>
  </si>
  <si>
    <t>แขวงทางหลวงอุบลราชธานีที่ 1</t>
  </si>
  <si>
    <t>แขวงทางหลวงพังงา</t>
  </si>
  <si>
    <t>แขวงทางหลวงตราด</t>
  </si>
  <si>
    <t>แขวงทางหลวงลำพูน</t>
  </si>
  <si>
    <t>แขวงทางหลวงอุบลราชธานีที่ 2</t>
  </si>
  <si>
    <t>แขวงทางหลวงบึงกาฬ</t>
  </si>
  <si>
    <t>แขวงทางหลวงอ่างทอง</t>
  </si>
  <si>
    <t>แขวงทางหลวงขอนแก่นที่ 3</t>
  </si>
  <si>
    <t>แขวงทางหลวงอุดรธานีที่ 2</t>
  </si>
  <si>
    <t>แขวงทางหลวงสกลนครที่ 2</t>
  </si>
  <si>
    <t>แขวงทางหลวงสุราษฎร์ธานีที่ 2</t>
  </si>
  <si>
    <t>แขวงทางหลวงแม่ฮ่องสอน</t>
  </si>
  <si>
    <t>แขวงทางหลวงน่านที่ 2</t>
  </si>
  <si>
    <t>แขวงทางหลวงสิงห์บุรี</t>
  </si>
  <si>
    <t>แขวงทางหลวงพัทลุง</t>
  </si>
  <si>
    <t>แขวงทางหลวงนครนายก</t>
  </si>
  <si>
    <t>แขวงทางหลวงเลยที่ 2</t>
  </si>
  <si>
    <t>แขวงทางหลวงสมุทรสงคราม</t>
  </si>
  <si>
    <t>แขวงทางหลวงหนองบัวลำภู</t>
  </si>
  <si>
    <t>แขวงทางหลวงระนอง</t>
  </si>
  <si>
    <t>แขวงทางหลวงอุตรดิตถ์ที่ 1</t>
  </si>
  <si>
    <t>แขวงทางหลวงอุตรดิตถ์ที่ 2</t>
  </si>
  <si>
    <t>แขวงทางหลวงสตูล</t>
  </si>
  <si>
    <t>แขวงทางหลวงอุทัยธานี</t>
  </si>
  <si>
    <t>แขวงทางหลวงยะลา</t>
  </si>
  <si>
    <t>แขวงทางหลวงปัตตานี</t>
  </si>
  <si>
    <t>แขวงทางหลวงสงขลาที่ 2 (นาหม่อม)</t>
  </si>
  <si>
    <t>แขวงทางหลวง</t>
  </si>
  <si>
    <t>ระยะทางรวม</t>
  </si>
  <si>
    <t>ปริมาณการเดินทางรวม</t>
  </si>
  <si>
    <t>แขวง</t>
  </si>
  <si>
    <t>ต่อ 2 ช่อง (กม.)</t>
  </si>
  <si>
    <t>แขวงทางหลวงเพชรบูรณ์ที่ 2 (บึงสามพัน)</t>
  </si>
  <si>
    <t>แขวงทางหลวงเลยที่ 2 (ด่านซ้าย)</t>
  </si>
  <si>
    <t>แขวงทางหลวงขอนแก่นที่ 2 (ชุมแพ)</t>
  </si>
  <si>
    <t>แขวงทางหลวงขอนแก่นที่ 3 (บ้านไผ่)</t>
  </si>
  <si>
    <t>แขวงทางหลวงตากที่ 2 (แม่สอด)</t>
  </si>
  <si>
    <t>แขวงทางหลวงนครศรีธรรมราชที่ 2 (ทุ่งสง)</t>
  </si>
  <si>
    <t>แขวงทางหลวงนครสวรรค์ที่ 2 (ตากฟ้า)</t>
  </si>
  <si>
    <t>แขวงทางหลวงประจวบคีรีขันธ์ (หัวหิน)</t>
  </si>
  <si>
    <t>แขวงทางหลวงพิษณุโลกที่ 2 (วังทอง)</t>
  </si>
  <si>
    <t>แขวงทางหลวงลพบุรีที่ 2 (ลำนารายณ์)</t>
  </si>
  <si>
    <t>แขวงทางหลวงสกลนครที่ 2 (สว่างแดนดิน)</t>
  </si>
  <si>
    <t>แขวงทางหลวงสระแก้ว (วัฒนานคร)</t>
  </si>
  <si>
    <t>แขวงทางหลวงสุพรรณบุรีที่ 2 (อู่ทอง)</t>
  </si>
  <si>
    <t>แขวงทางหลวงสุราษฎร์ธานีที่ 1 (พุนพิน)</t>
  </si>
  <si>
    <t>แขวงทางหลวงสุราษฎร์ธานีที่ 2 (กาญจนดิษฐ์)</t>
  </si>
  <si>
    <t>แขวงทางหลวงสุราษฎร์ธานีที่ 3 (เวียงสระ)</t>
  </si>
  <si>
    <t>แขวงทางหลวงอุดรธานีที่ 2 (หนองหาน)</t>
  </si>
  <si>
    <t>รวมทั้งสิ้น</t>
  </si>
  <si>
    <t>min_iri</t>
  </si>
  <si>
    <t>max_iri</t>
  </si>
  <si>
    <t>rest_area_num</t>
  </si>
  <si>
    <t>glare_protection_num</t>
  </si>
  <si>
    <t>noise_barrier_num</t>
  </si>
  <si>
    <t>tunnel_m</t>
  </si>
  <si>
    <t>tunnel_num</t>
  </si>
  <si>
    <t>roadside_sqm</t>
  </si>
  <si>
    <t>roadsidepipe_m</t>
  </si>
  <si>
    <t>roadsidepipe_v</t>
  </si>
  <si>
    <t>drainage_m</t>
  </si>
  <si>
    <t>drainage_v</t>
  </si>
  <si>
    <t>culvertpipe_m</t>
  </si>
  <si>
    <t>culvertpipe_v</t>
  </si>
  <si>
    <t>pipebridge_v</t>
  </si>
  <si>
    <t>traffic_sign_num</t>
  </si>
  <si>
    <t>km_stone_num</t>
  </si>
  <si>
    <t>delineation_num</t>
  </si>
  <si>
    <t>pavilion_num</t>
  </si>
  <si>
    <t>building_num</t>
  </si>
  <si>
    <t>à¸‚à¸—.à¸à¸£à¸°à¸šà¸µà¹ˆ</t>
  </si>
  <si>
    <t>à¸ªà¸³à¸™à¸±à¸à¸‡à¸²à¸™à¸—à¸²à¸‡à¸«à¸¥à¸§à¸‡à¸—à¸µà¹ˆ 17 (à¸à¸£à¸°à¸šà¸µà¹ˆ)</t>
  </si>
  <si>
    <t>à¸‚à¸—.à¸à¸£à¸¸à¸‡à¹€à¸—à¸ž</t>
  </si>
  <si>
    <t>à¸ªà¸³à¸™à¸±à¸à¸‡à¸²à¸™à¸—à¸²à¸‡à¸«à¸¥à¸§à¸‡à¸—à¸µà¹ˆ 13 (à¸à¸£à¸¸à¸‡à¹€à¸—à¸ž)</t>
  </si>
  <si>
    <t>à¸‚à¸—.à¸à¸²à¸à¸ˆà¸™à¸šà¸¸à¸£à¸µ</t>
  </si>
  <si>
    <t>à¸ªà¸³à¸™à¸±à¸à¸‡à¸²à¸™à¸—à¸²à¸‡à¸«à¸¥à¸§à¸‡à¸—à¸µà¹ˆ 12 (à¸ªà¸¸à¸žà¸£à¸£à¸“à¸šà¸¸à¸£à¸µ)</t>
  </si>
  <si>
    <t>à¸‚à¸—.à¸à¸²à¸¬à¸ªà¸´à¸™à¸˜à¸¸à¹Œ</t>
  </si>
  <si>
    <t>à¸ªà¸³à¸™à¸±à¸à¸‡à¸²à¸™à¸—à¸²à¸‡à¸«à¸¥à¸§à¸‡à¸—à¸µà¹ˆ 8 (à¸¡à¸«à¸²à¸ªà¸²à¸£à¸„à¸²à¸¡)</t>
  </si>
  <si>
    <t>à¸‚à¸—.à¸à¸³à¹à¸žà¸‡à¹€à¸žà¸Šà¸£</t>
  </si>
  <si>
    <t>à¸ªà¸³à¸™à¸±à¸à¸‡à¸²à¸™à¸—à¸²à¸‡à¸«à¸¥à¸§à¸‡à¸—à¸µà¹ˆ 4 (à¸•à¸²à¸)</t>
  </si>
  <si>
    <t>à¸‚à¸—.à¸‚à¸­à¸™à¹à¸à¹ˆà¸™à¸—à¸µà¹ˆ 1</t>
  </si>
  <si>
    <t>à¸ªà¸³à¸™à¸±à¸à¸‡à¸²à¸™à¸—à¸²à¸‡à¸«à¸¥à¸§à¸‡à¸—à¸µà¹ˆ 7 (à¸‚à¸­à¸™à¹à¸à¹ˆà¸™)</t>
  </si>
  <si>
    <t>à¸‚à¸—.à¸‚à¸­à¸™à¹à¸à¹ˆà¸™à¸—à¸µà¹ˆ 2 (à¸Šà¸¸à¸¡à¹à¸ž)</t>
  </si>
  <si>
    <t>à¸‚à¸—.à¸‚à¸­à¸™à¹à¸à¹ˆà¸™à¸—à¸µà¹ˆ 3 (à¸šà¹‰à¸²à¸™à¹„à¸œà¹ˆ)</t>
  </si>
  <si>
    <t>à¸‚à¸—.à¸ˆà¸±à¸™à¸—à¸šà¸¸à¸£à¸µ</t>
  </si>
  <si>
    <t>à¸ªà¸³à¸™à¸±à¸à¸‡à¸²à¸™à¸—à¸²à¸‡à¸«à¸¥à¸§à¸‡à¸—à¸µà¹ˆ 14 (à¸Šà¸¥à¸šà¸¸à¸£à¸µ)</t>
  </si>
  <si>
    <t>à¸‚à¸—.à¸‰à¸°à¹€à¸Šà¸´à¸‡à¹€à¸—à¸£à¸²</t>
  </si>
  <si>
    <t>à¸‚à¸—.à¸Šà¸¥à¸šà¸¸à¸£à¸µà¸—à¸µà¹ˆ 1</t>
  </si>
  <si>
    <t>à¸‚à¸—.à¸Šà¸¥à¸šà¸¸à¸£à¸µà¸—à¸µà¹ˆ 2</t>
  </si>
  <si>
    <t>à¸‚à¸—.à¸Šà¸±à¸¢à¸™à¸²à¸—</t>
  </si>
  <si>
    <t>à¸‚à¸—.à¸Šà¸±à¸¢à¸ à¸¹à¸¡à¸´</t>
  </si>
  <si>
    <t>à¸‚à¸—.à¸Šà¸¸à¸¡à¸žà¸£</t>
  </si>
  <si>
    <t>à¸ªà¸³à¸™à¸±à¸à¸‡à¸²à¸™à¸—à¸²à¸‡à¸«à¸¥à¸§à¸‡à¸—à¸µà¹ˆ 15 (à¸›à¸£à¸°à¸ˆà¸§à¸šà¸„à¸µà¸£à¸µà¸‚à¸±à¸™à¸˜à¹Œ)</t>
  </si>
  <si>
    <t>à¸‚à¸—.à¸•à¸£à¸±à¸‡</t>
  </si>
  <si>
    <t>à¸‚à¸—.à¸•à¸£à¸²à¸”</t>
  </si>
  <si>
    <t>à¸‚à¸—.à¸•à¸²à¸à¸—à¸µà¹ˆ 1</t>
  </si>
  <si>
    <t>à¸‚à¸—.à¸•à¸²à¸à¸—à¸µà¹ˆ 2 (à¹à¸¡à¹ˆà¸ªà¸­à¸”)</t>
  </si>
  <si>
    <t>à¸‚à¸—.à¸˜à¸™à¸šà¸¸à¸£à¸µ</t>
  </si>
  <si>
    <t>à¸‚à¸—.à¸™à¸„à¸£à¸™à¸²à¸¢à¸</t>
  </si>
  <si>
    <t>à¸‚à¸—.à¸™à¸„à¸£à¸›à¸à¸¡</t>
  </si>
  <si>
    <t>à¸‚à¸—.à¸™à¸„à¸£à¸žà¸™à¸¡</t>
  </si>
  <si>
    <t>à¸ªà¸³à¸™à¸±à¸à¸‡à¸²à¸™à¸—à¸²à¸‡à¸«à¸¥à¸§à¸‡à¸—à¸µà¹ˆ 3 (à¸ªà¸à¸¥à¸™à¸„à¸£)</t>
  </si>
  <si>
    <t>à¸‚à¸—.à¸™à¸„à¸£à¸£à¸²à¸Šà¸ªà¸µà¸¡à¸²à¸—à¸µà¹ˆ 1</t>
  </si>
  <si>
    <t>à¸ªà¸³à¸™à¸±à¸à¸‡à¸²à¸™à¸—à¸²à¸‡à¸«à¸¥à¸§à¸‡à¸—à¸µà¹ˆ 10 (à¸™à¸„à¸£à¸£à¸²à¸Šà¸ªà¸µà¸¡à¸²)</t>
  </si>
  <si>
    <t>à¸‚à¸—.à¸™à¸„à¸£à¸£à¸²à¸Šà¸ªà¸µà¸¡à¸²à¸—à¸µà¹ˆ 2</t>
  </si>
  <si>
    <t>à¸‚à¸—.à¸™à¸„à¸£à¸£à¸²à¸Šà¸ªà¸µà¸¡à¸²à¸—à¸µà¹ˆ 3</t>
  </si>
  <si>
    <t>à¸‚à¸—.à¸™à¸„à¸£à¸¨à¸£à¸µà¸˜à¸£à¸£à¸¡à¸£à¸²à¸Šà¸—à¸µà¹ˆ 1</t>
  </si>
  <si>
    <t>à¸ªà¸³à¸™à¸±à¸à¸‡à¸²à¸™à¸—à¸²à¸‡à¸«à¸¥à¸§à¸‡à¸—à¸µà¹ˆ 16 (à¸™à¸„à¸£à¸¨à¸£à¸µà¸˜à¸£à¸£à¸¡à¸£à¸²à¸Š)</t>
  </si>
  <si>
    <t>à¸‚à¸—.à¸™à¸„à¸£à¸¨à¸£à¸µà¸˜à¸£à¸£à¸¡à¸£à¸²à¸Šà¸—à¸µà¹ˆ 2 (à¸—à¸¸à¹ˆà¸‡à¸ªà¸‡)</t>
  </si>
  <si>
    <t>à¸‚à¸—.à¸™à¸„à¸£à¸ªà¸§à¸£à¸£à¸„à¹Œà¸—à¸µà¹ˆ 1</t>
  </si>
  <si>
    <t>à¸ªà¸³à¸™à¸±à¸à¸‡à¸²à¸™à¸—à¸²à¸‡à¸«à¸¥à¸§à¸‡à¸—à¸µà¹ˆ 11 (à¸¥à¸žà¸šà¸¸à¸£à¸µ)</t>
  </si>
  <si>
    <t>à¸‚à¸—.à¸™à¸„à¸£à¸ªà¸§à¸£à¸£à¸„à¹Œà¸—à¸µà¹ˆ 2 (à¸•à¸²à¸à¸Ÿà¹‰à¸²)</t>
  </si>
  <si>
    <t>à¸‚à¸—.à¸™à¸™à¸—à¸šà¸¸à¸£à¸µ</t>
  </si>
  <si>
    <t>à¸‚à¸—.à¸™à¹ˆà¸²à¸™à¸—à¸µà¹ˆ 1</t>
  </si>
  <si>
    <t>à¸ªà¸³à¸™à¸±à¸à¸‡à¸²à¸™à¸—à¸²à¸‡à¸«à¸¥à¸§à¸‡à¸—à¸µà¹ˆ 2 (à¹à¸žà¸£à¹ˆ)</t>
  </si>
  <si>
    <t>à¸‚à¸—.à¸™à¹ˆà¸²à¸™à¸—à¸µà¹ˆ 2</t>
  </si>
  <si>
    <t>à¸‚à¸—.à¸šà¸¶à¸‡à¸à¸²à¸¬</t>
  </si>
  <si>
    <t>à¸‚à¸—.à¸šà¸¸à¸£à¸µà¸£à¸±à¸¡à¸¢à¹Œ</t>
  </si>
  <si>
    <t>à¸‚à¸—.à¸›à¸—à¸¸à¸¡à¸˜à¸²à¸™à¸µ</t>
  </si>
  <si>
    <t>à¸‚à¸—.à¸›à¸£à¸°à¸ˆà¸§à¸šà¸„à¸µà¸£à¸µà¸‚à¸±à¸™à¸˜à¹Œ (à¸«à¸±à¸§à¸«à¸´à¸™)</t>
  </si>
  <si>
    <t>à¸‚à¸—.à¸›à¸£à¸²à¸ˆà¸µà¸™à¸šà¸¸à¸£à¸µ</t>
  </si>
  <si>
    <t>à¸‚à¸—.à¸žà¸°à¹€à¸¢à¸²</t>
  </si>
  <si>
    <t>à¸‚à¸—.à¸žà¸±à¸‡à¸‡à¸²</t>
  </si>
  <si>
    <t>à¸‚à¸—.à¸žà¸±à¸—à¸¥à¸¸à¸‡</t>
  </si>
  <si>
    <t>à¸‚à¸—.à¸žà¸´à¸ˆà¸´à¸•à¸£</t>
  </si>
  <si>
    <t>à¸ªà¸³à¸™à¸±à¸à¸‡à¸²à¸™à¸—à¸²à¸‡à¸«à¸¥à¸§à¸‡à¸—à¸µà¹ˆ 5 (à¸žà¸´à¸©à¸“à¸¸à¹‚à¸¥à¸)</t>
  </si>
  <si>
    <t>à¸‚à¸—.à¸žà¸´à¸©à¸“à¸¸à¹‚à¸¥à¸à¸—à¸µà¹ˆ 1</t>
  </si>
  <si>
    <t>à¸‚à¸—.à¸žà¸´à¸©à¸“à¸¸à¹‚à¸¥à¸à¸—à¸µà¹ˆ 2 (à¸§à¸±à¸‡à¸—à¸­à¸‡)</t>
  </si>
  <si>
    <t>à¸‚à¸—.à¸žà¸´à¹€à¸¨à¸©à¸£à¸°à¸«à¸§à¹ˆà¸²à¸‡à¹€à¸¡à¸·à¸­à¸‡</t>
  </si>
  <si>
    <t>à¸à¸­à¸‡à¸—à¸²à¸‡à¸«à¸¥à¸§à¸‡à¸žà¸´à¹€à¸¨à¸©à¸£à¸°à¸«à¸§à¹ˆà¸²à¸‡à¹€à¸¡à¸·à¸­à¸‡</t>
  </si>
  <si>
    <t>à¸‚à¸—.à¸ à¸¹à¹€à¸à¹‡à¸•</t>
  </si>
  <si>
    <t>à¸‚à¸—.à¸¡à¸«à¸²à¸ªà¸²à¸£à¸„à¸²à¸¡</t>
  </si>
  <si>
    <t>à¸‚à¸—.à¸¡à¸¸à¸à¸”à¸²à¸«à¸²à¸£</t>
  </si>
  <si>
    <t>à¸‚à¸—.à¸¢à¹‚à¸ªà¸˜à¸£</t>
  </si>
  <si>
    <t>à¸‚à¸—.à¸£à¸°à¸™à¸­à¸‡</t>
  </si>
  <si>
    <t>à¸‚à¸—.à¸£à¸°à¸¢à¸­à¸‡</t>
  </si>
  <si>
    <t>à¸‚à¸—.à¸£à¸²à¸Šà¸šà¸¸à¸£à¸µ</t>
  </si>
  <si>
    <t>à¸‚à¸—.à¸£à¹‰à¸­à¸¢à¹€à¸­à¹‡à¸”</t>
  </si>
  <si>
    <t>à¸‚à¸—.à¸¥à¸žà¸šà¸¸à¸£à¸µà¸—à¸µà¹ˆ 1</t>
  </si>
  <si>
    <t>à¸‚à¸—.à¸¥à¸žà¸šà¸¸à¸£à¸µà¸—à¸µà¹ˆ 2 (à¸¥à¸³à¸™à¸²à¸£à¸²à¸¢à¸“à¹Œ)</t>
  </si>
  <si>
    <t>à¸‚à¸—.à¸¥à¸³à¸›à¸²à¸‡à¸—à¸µà¹ˆ 1</t>
  </si>
  <si>
    <t>à¸ªà¸³à¸™à¸±à¸à¸‡à¸²à¸™à¸—à¸²à¸‡à¸«à¸¥à¸§à¸‡à¸—à¸µà¹ˆ 1 (à¹€à¸Šà¸µà¸¢à¸‡à¹ƒà¸«à¸¡à¹ˆ)</t>
  </si>
  <si>
    <t>à¸‚à¸—.à¸¥à¸³à¸›à¸²à¸‡à¸—à¸µà¹ˆ 2</t>
  </si>
  <si>
    <t>à¸‚à¸—.à¸¥à¸³à¸žà¸¹à¸™</t>
  </si>
  <si>
    <t>à¸‚à¸—.à¸¨à¸£à¸µà¸ªà¸°à¹€à¸à¸©à¸—à¸µà¹ˆ 1</t>
  </si>
  <si>
    <t>à¸ªà¸³à¸™à¸±à¸à¸‡à¸²à¸™à¸—à¸²à¸‡à¸«à¸¥à¸§à¸‡à¸—à¸µà¹ˆ 9 (à¸­à¸¸à¸šà¸¥à¸£à¸²à¸Šà¸˜à¸²à¸™à¸µ)</t>
  </si>
  <si>
    <t>à¸‚à¸—.à¸¨à¸£à¸µà¸ªà¸°à¹€à¸à¸©à¸—à¸µà¹ˆ 2</t>
  </si>
  <si>
    <t>à¸‚à¸—.à¸ªà¸à¸¥à¸™à¸„à¸£à¸—à¸µà¹ˆ 1</t>
  </si>
  <si>
    <t>à¸‚à¸—.à¸ªà¸à¸¥à¸™à¸„à¸£à¸—à¸µà¹ˆ 2 (à¸ªà¸§à¹ˆà¸²à¸‡à¹à¸”à¸™à¸”à¸´à¸™)</t>
  </si>
  <si>
    <t>à¸‚à¸—.à¸ªà¸‡à¸‚à¸¥à¸²à¸—à¸µà¹ˆ 1</t>
  </si>
  <si>
    <t>à¸ªà¸³à¸™à¸±à¸à¸‡à¸²à¸™à¸—à¸²à¸‡à¸«à¸¥à¸§à¸‡à¸—à¸µà¹ˆ 18 (à¸ªà¸‡à¸‚à¸¥à¸²)</t>
  </si>
  <si>
    <t>à¸‚à¸—.à¸ªà¸•à¸¹à¸¥</t>
  </si>
  <si>
    <t>à¸‚à¸—.à¸ªà¸¡à¸¸à¸—à¸£à¸›à¸£à¸²à¸à¸²à¸£</t>
  </si>
  <si>
    <t>à¸‚à¸—.à¸ªà¸¡à¸¸à¸—à¸£à¸ªà¸‡à¸„à¸£à¸²à¸¡</t>
  </si>
  <si>
    <t>à¸‚à¸—.à¸ªà¸¡à¸¸à¸—à¸£à¸ªà¸²à¸„à¸£</t>
  </si>
  <si>
    <t>à¸‚à¸—.à¸ªà¸£à¸°à¸šà¸¸à¸£à¸µ</t>
  </si>
  <si>
    <t>à¸‚à¸—.à¸ªà¸£à¸°à¹à¸à¹‰à¸§ (à¸§à¸±à¸’à¸™à¸²à¸™à¸„à¸£)</t>
  </si>
  <si>
    <t>à¸‚à¸—.à¸ªà¸´à¸‡à¸«à¹Œà¸šà¸¸à¸£à¸µ</t>
  </si>
  <si>
    <t>à¸‚à¸—.à¸ªà¸¸à¸žà¸£à¸£à¸“à¸šà¸¸à¸£à¸µà¸—à¸µà¹ˆ 1</t>
  </si>
  <si>
    <t>à¸‚à¸—.à¸ªà¸¸à¸žà¸£à¸£à¸“à¸šà¸¸à¸£à¸µà¸—à¸µà¹ˆ 2 (à¸­à¸¹à¹ˆà¸—à¸­à¸‡)</t>
  </si>
  <si>
    <t xml:space="preserve">à¸‚à¸—.à¸ªà¸¸à¸£à¸²à¸©à¸Žà¸£à¹Œà¸˜à¸²à¸™à¸µà¸—à¸µà¹ˆ 1 </t>
  </si>
  <si>
    <t>à¸‚à¸—.à¸ªà¸¸à¸£à¸²à¸©à¸Žà¸£à¹Œà¸˜à¸²à¸™à¸µà¸—à¸µà¹ˆ 2 (à¸à¸²à¸à¸ˆà¸™à¸”à¸´à¸©à¸à¹Œ)</t>
  </si>
  <si>
    <t>à¸‚à¸—.à¸ªà¸¸à¸£à¸²à¸©à¸Žà¸£à¹Œà¸˜à¸²à¸™à¸µà¸—à¸µà¹ˆ 3 (à¹€à¸§à¸µà¸¢à¸‡à¸ªà¸£à¸°)</t>
  </si>
  <si>
    <t>à¸‚à¸—.à¸ªà¸¸à¸£à¸´à¸™à¸—à¸£à¹Œ</t>
  </si>
  <si>
    <t>à¸‚à¸—.à¸ªà¸¸à¹‚à¸‚à¸—à¸±à¸¢</t>
  </si>
  <si>
    <t>à¸‚à¸—.à¸«à¸™à¸­à¸‡à¸„à¸²à¸¢</t>
  </si>
  <si>
    <t>à¸‚à¸—.à¸«à¸™à¸­à¸‡à¸šà¸±à¸§à¸¥à¸³à¸ à¸¹</t>
  </si>
  <si>
    <t>à¸ªà¸³à¸™à¸±à¸à¸‡à¸²à¸™à¸—à¸²à¸‡à¸«à¸¥à¸§à¸‡à¸—à¸µà¹ˆ 6 (à¹€à¸žà¸Šà¸£à¸šà¸¹à¸£à¸“à¹Œ)</t>
  </si>
  <si>
    <t>à¸‚à¸—.à¸­à¸¢à¸¸à¸˜à¸¢à¸²</t>
  </si>
  <si>
    <t>à¸‚à¸—.à¸­à¸³à¸™à¸²à¸ˆà¹€à¸ˆà¸£à¸´à¸</t>
  </si>
  <si>
    <t>à¸‚à¸—.à¸­à¸¸à¸”à¸£à¸˜à¸²à¸™à¸µà¸—à¸µà¹ˆ 1</t>
  </si>
  <si>
    <t>à¸‚à¸—.à¸­à¸¸à¸”à¸£à¸˜à¸²à¸™à¸µà¸—à¸µà¹ˆ 2 (à¸«à¸™à¸­à¸‡à¸«à¸²à¸™)</t>
  </si>
  <si>
    <t>à¸‚à¸—.à¸­à¸¸à¸•à¸£à¸”à¸´à¸•à¸–à¹Œà¸—à¸µà¹ˆ 1</t>
  </si>
  <si>
    <t>à¸‚à¸—.à¸­à¸¸à¸•à¸£à¸”à¸´à¸•à¸–à¹Œà¸—à¸µà¹ˆ 2</t>
  </si>
  <si>
    <t>à¸‚à¸—.à¸­à¸¸à¸—à¸±à¸¢à¸˜à¸²à¸™à¸µ</t>
  </si>
  <si>
    <t>à¸‚à¸—.à¸­à¸¸à¸šà¸¥à¸£à¸²à¸Šà¸˜à¸²à¸™à¸µà¸—à¸µà¹ˆ 1</t>
  </si>
  <si>
    <t>à¸‚à¸—.à¸­à¸¸à¸šà¸¥à¸£à¸²à¸Šà¸˜à¸²à¸™à¸µà¸—à¸µà¹ˆ 2</t>
  </si>
  <si>
    <t>à¸‚à¸—.à¸­à¹ˆà¸²à¸‡à¸—à¸­à¸‡</t>
  </si>
  <si>
    <t>à¸‚à¸—.à¹€à¸Šà¸µà¸¢à¸‡à¸£à¸²à¸¢à¸—à¸µà¹ˆ 1</t>
  </si>
  <si>
    <t>à¸‚à¸—.à¹€à¸Šà¸µà¸¢à¸‡à¸£à¸²à¸¢à¸—à¸µà¹ˆ 2</t>
  </si>
  <si>
    <t>à¸‚à¸—.à¹€à¸Šà¸µà¸¢à¸‡à¹ƒà¸«à¸¡à¹ˆà¸—à¸µà¹ˆ 1</t>
  </si>
  <si>
    <t>à¸‚à¸—.à¹€à¸Šà¸µà¸¢à¸‡à¹ƒà¸«à¸¡à¹ˆà¸—à¸µà¹ˆ 2</t>
  </si>
  <si>
    <t>à¸‚à¸—.à¹€à¸Šà¸µà¸¢à¸‡à¹ƒà¸«à¸¡à¹ˆà¸—à¸µà¹ˆ 3</t>
  </si>
  <si>
    <t>à¸‚à¸—.à¹€à¸žà¸Šà¸£à¸šà¸¸à¸£à¸µ</t>
  </si>
  <si>
    <t>à¸‚à¸—.à¹€à¸žà¸Šà¸£à¸šà¸¹à¸£à¸“à¹Œà¸—à¸µà¹ˆ 1</t>
  </si>
  <si>
    <t>à¸‚à¸—.à¹€à¸žà¸Šà¸£à¸šà¸¹à¸£à¸“à¹Œà¸—à¸µà¹ˆ 2 (à¸šà¸¶à¸‡à¸ªà¸²à¸¡à¸žà¸±à¸™)</t>
  </si>
  <si>
    <t>à¸‚à¸—.à¹€à¸¥à¸¢à¸—à¸µà¹ˆ 1</t>
  </si>
  <si>
    <t>à¸‚à¸—.à¹€à¸¥à¸¢à¸—à¸µà¹ˆ 2 (à¸”à¹ˆà¸²à¸™à¸‹à¹‰à¸²à¸¢)</t>
  </si>
  <si>
    <t>à¸‚à¸—.à¹à¸žà¸£à¹ˆ</t>
  </si>
  <si>
    <t>à¸‚à¸—.à¹à¸¡à¹ˆà¸®à¹ˆà¸­à¸‡à¸ªà¸­à¸™</t>
  </si>
  <si>
    <t>จังหวัด</t>
  </si>
  <si>
    <t>map</t>
  </si>
  <si>
    <t>percent พื้นที่ฝนชุก</t>
  </si>
  <si>
    <t>กรุงเทพมหานคร </t>
  </si>
  <si>
    <t>กระบี่ </t>
  </si>
  <si>
    <t>จันทบุรี </t>
  </si>
  <si>
    <t>ชุมพร </t>
  </si>
  <si>
    <t>เชียงราย </t>
  </si>
  <si>
    <t>ตรัง</t>
  </si>
  <si>
    <t>นครนายก </t>
  </si>
  <si>
    <t>ปราจีนบุรี </t>
  </si>
  <si>
    <t>พัทลุง </t>
  </si>
  <si>
    <t>ภูเก็ต </t>
  </si>
  <si>
    <t>ยะลา </t>
  </si>
  <si>
    <t>สกลนคร</t>
  </si>
  <si>
    <t>สตูล</t>
  </si>
  <si>
    <t>หนองคาย</t>
  </si>
  <si>
    <t>สุราษฎร์ธานี</t>
  </si>
  <si>
    <t>ปัตตานี</t>
  </si>
  <si>
    <t>ตราด </t>
  </si>
  <si>
    <t>นครพนม </t>
  </si>
  <si>
    <t>นครศรีธรรมราช</t>
  </si>
  <si>
    <t>นราธิวาส</t>
  </si>
  <si>
    <t>บึงกาฬ </t>
  </si>
  <si>
    <t>พังงา </t>
  </si>
  <si>
    <t>ระนอง</t>
  </si>
  <si>
    <t>สงขลา</t>
  </si>
  <si>
    <t>ท่อลอดทาง</t>
  </si>
  <si>
    <t>ท่อข้างทาง</t>
  </si>
  <si>
    <t>สะพานข้ามคลอง &lt; 20 ม.</t>
  </si>
  <si>
    <t>สะพานลอยคนเดินข้าม</t>
  </si>
  <si>
    <t>ไฟสัญญาณจราจร</t>
  </si>
  <si>
    <t>ไฟคนเดินข้าม</t>
  </si>
  <si>
    <t>ไฟกระพริบ</t>
  </si>
  <si>
    <t>ไฟฟ้าแสงสว่าง</t>
  </si>
  <si>
    <t>ศาลาทางหลวง</t>
  </si>
  <si>
    <t>จำนวน</t>
  </si>
  <si>
    <t>งบประมาณ (บาท)</t>
  </si>
  <si>
    <t>(บาท)</t>
  </si>
  <si>
    <t xml:space="preserve"> -   </t>
  </si>
  <si>
    <t>อัตราค่าบำรุงรักษาทรัพย์สินทางหลวง 23 รายการ</t>
  </si>
  <si>
    <t>บาท/หน่วย</t>
  </si>
  <si>
    <t>1.ทางลูกรัง</t>
  </si>
  <si>
    <t xml:space="preserve">-   </t>
  </si>
  <si>
    <t>2.ทางเท้า</t>
  </si>
  <si>
    <t>3.ทางเชื่อม</t>
  </si>
  <si>
    <t>4.ทางจักรยาน</t>
  </si>
  <si>
    <t>5.เกาะกลาง</t>
  </si>
  <si>
    <t>6.1ท่อบนสะพาน</t>
  </si>
  <si>
    <t>6.2 ท่อลอดทาง</t>
  </si>
  <si>
    <t>6.3 ท่อข้างทาง</t>
  </si>
  <si>
    <t>7.ทางระบายน้ำ</t>
  </si>
  <si>
    <t>8.1 สะพานข้ามคลอง น้อยกว่า 20 ม.</t>
  </si>
  <si>
    <t>8.1 สะพานข้ามคลอง 20 - 50 ม.</t>
  </si>
  <si>
    <t>8.1 สะพานข้ามคลอง มากกว่า 50 ม.</t>
  </si>
  <si>
    <t>8.2 สะพานข้ามแยก</t>
  </si>
  <si>
    <t>8.3 ทางยกระดับ</t>
  </si>
  <si>
    <t>9.สะพานกลับรถ</t>
  </si>
  <si>
    <t>10.1อุโมงค์</t>
  </si>
  <si>
    <t>10.2ทางลอด</t>
  </si>
  <si>
    <t>11.สะพานลอยคนเดินข้าม</t>
  </si>
  <si>
    <t>12.กำแพงกันดิน</t>
  </si>
  <si>
    <t>13.ป้ายจราจร</t>
  </si>
  <si>
    <t>14.เครื่องหมายจราจร</t>
  </si>
  <si>
    <t>15.ราวกันอันตราย</t>
  </si>
  <si>
    <t>16.1 ไฟสัญญาณจราจร</t>
  </si>
  <si>
    <t>16.2 ไฟคนเดินข้าม</t>
  </si>
  <si>
    <t>16.3 ไฟกระพริบ</t>
  </si>
  <si>
    <t>17.ไฟเตือน/ไฟทางข้าม</t>
  </si>
  <si>
    <t>18.ไฟฟ้าแสงสว่าง</t>
  </si>
  <si>
    <t>19.สิ่งอำนวยความปลอดภัยอื่นๆ</t>
  </si>
  <si>
    <t>20.1ศาลาทางหลวง</t>
  </si>
  <si>
    <t>20.2ที่จอดรถประจำทาง</t>
  </si>
  <si>
    <t>21.พื้นที่บริเวณข้างทาง</t>
  </si>
  <si>
    <t>22.อาคารสำนักงาน</t>
  </si>
  <si>
    <t>23.ที่ดินสงวน</t>
  </si>
  <si>
    <t>นอกเขตทาง</t>
  </si>
  <si>
    <t>deptcode</t>
  </si>
  <si>
    <t>SUM ของ ผลรวมปริมาณงาน</t>
  </si>
  <si>
    <t>SUM ของ รวมงบประมาณทั้งหมด</t>
  </si>
  <si>
    <t>แขวงทางหลวงเชียงใหม่ 1</t>
  </si>
  <si>
    <t>แขวงทางหลวงเชียงใหม่ 2</t>
  </si>
  <si>
    <t>แขวงทางหลวงสุราษฎ์ธานีที่ 2 (กาญจนดิษฐ์)</t>
  </si>
  <si>
    <t>แขวงทางหลวงสุราษฏร์ธานีที่ 1 (พุนพิน)</t>
  </si>
  <si>
    <t>dept3</t>
  </si>
  <si>
    <t>sum_งบแผน68</t>
  </si>
  <si>
    <t>budgetyear</t>
  </si>
  <si>
    <t>รวมงบประมาณทั้งหมด</t>
  </si>
  <si>
    <t>unit cost ต่อพื้นที่</t>
  </si>
  <si>
    <t>unit cost ต่อกม.</t>
  </si>
  <si>
    <t>length_to_2</t>
  </si>
  <si>
    <t>deptcode_3</t>
  </si>
  <si>
    <t>ผลรวมปริมาณงาน</t>
  </si>
  <si>
    <t>veh_truck</t>
  </si>
  <si>
    <t>bridge_m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</si>
</sst>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  <charset val="222"/>
    </font>
    <font>
      <b/>
      <sz val="14"/>
      <color rgb="FF000000"/>
      <name val="TH SarabunIT๙"/>
      <family val="2"/>
    </font>
    <font>
      <sz val="14"/>
      <color rgb="FF000000"/>
      <name val="TH SarabunIT๙"/>
      <family val="2"/>
    </font>
    <font>
      <b/>
      <sz val="14"/>
      <color rgb="FF000000"/>
      <name val="TH SarabunPSK"/>
      <family val="2"/>
    </font>
    <font>
      <sz val="16"/>
      <color rgb="FFFF0000"/>
      <name val="TH SarabunPSK"/>
      <family val="2"/>
    </font>
    <font>
      <i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AEDF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DAE9F8"/>
        <bgColor rgb="FF000000"/>
      </patternFill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ck">
        <color rgb="FF8093B3"/>
      </bottom>
      <diagonal/>
    </border>
    <border>
      <left/>
      <right style="medium">
        <color rgb="FFFFFFFF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2">
    <xf numFmtId="0" fontId="0" fillId="0" borderId="0" xfId="0"/>
    <xf numFmtId="43" fontId="0" fillId="0" borderId="0" xfId="1" applyFont="1"/>
    <xf numFmtId="0" fontId="18" fillId="35" borderId="15" xfId="0" applyFont="1" applyFill="1" applyBorder="1" applyAlignment="1">
      <alignment horizontal="center" vertical="top"/>
    </xf>
    <xf numFmtId="0" fontId="18" fillId="36" borderId="11" xfId="0" applyFont="1" applyFill="1" applyBorder="1" applyAlignment="1">
      <alignment horizontal="centerContinuous"/>
    </xf>
    <xf numFmtId="0" fontId="18" fillId="37" borderId="15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 vertical="top"/>
    </xf>
    <xf numFmtId="0" fontId="18" fillId="36" borderId="11" xfId="0" applyFont="1" applyFill="1" applyBorder="1" applyAlignment="1">
      <alignment horizontal="center"/>
    </xf>
    <xf numFmtId="0" fontId="18" fillId="37" borderId="10" xfId="0" applyFont="1" applyFill="1" applyBorder="1" applyAlignment="1">
      <alignment horizontal="center"/>
    </xf>
    <xf numFmtId="0" fontId="18" fillId="35" borderId="16" xfId="0" applyFont="1" applyFill="1" applyBorder="1" applyAlignment="1">
      <alignment horizontal="center" vertical="top"/>
    </xf>
    <xf numFmtId="3" fontId="18" fillId="36" borderId="15" xfId="0" applyNumberFormat="1" applyFont="1" applyFill="1" applyBorder="1" applyAlignment="1">
      <alignment horizontal="center"/>
    </xf>
    <xf numFmtId="3" fontId="18" fillId="37" borderId="11" xfId="0" applyNumberFormat="1" applyFont="1" applyFill="1" applyBorder="1" applyAlignment="1">
      <alignment horizontal="center"/>
    </xf>
    <xf numFmtId="0" fontId="19" fillId="0" borderId="17" xfId="0" applyFont="1" applyBorder="1" applyAlignment="1">
      <alignment horizontal="center" vertical="top"/>
    </xf>
    <xf numFmtId="0" fontId="19" fillId="0" borderId="17" xfId="0" applyFont="1" applyBorder="1" applyAlignment="1">
      <alignment horizontal="left" vertical="top"/>
    </xf>
    <xf numFmtId="3" fontId="19" fillId="0" borderId="17" xfId="0" applyNumberFormat="1" applyFont="1" applyBorder="1"/>
    <xf numFmtId="0" fontId="19" fillId="0" borderId="17" xfId="0" applyFont="1" applyBorder="1"/>
    <xf numFmtId="0" fontId="19" fillId="0" borderId="13" xfId="0" applyFont="1" applyBorder="1" applyAlignment="1">
      <alignment horizontal="center" vertical="top"/>
    </xf>
    <xf numFmtId="0" fontId="19" fillId="0" borderId="13" xfId="0" applyFont="1" applyBorder="1" applyAlignment="1">
      <alignment horizontal="left" vertical="top"/>
    </xf>
    <xf numFmtId="3" fontId="19" fillId="0" borderId="13" xfId="0" applyNumberFormat="1" applyFont="1" applyBorder="1"/>
    <xf numFmtId="0" fontId="19" fillId="0" borderId="13" xfId="0" applyFont="1" applyBorder="1"/>
    <xf numFmtId="0" fontId="19" fillId="0" borderId="14" xfId="0" applyFont="1" applyBorder="1" applyAlignment="1">
      <alignment horizontal="left" vertical="top"/>
    </xf>
    <xf numFmtId="3" fontId="19" fillId="0" borderId="12" xfId="0" applyNumberFormat="1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20" fillId="38" borderId="11" xfId="0" applyFont="1" applyFill="1" applyBorder="1" applyAlignment="1">
      <alignment horizontal="center"/>
    </xf>
    <xf numFmtId="0" fontId="21" fillId="0" borderId="11" xfId="0" applyFont="1" applyBorder="1" applyAlignment="1">
      <alignment horizontal="left"/>
    </xf>
    <xf numFmtId="0" fontId="21" fillId="0" borderId="11" xfId="0" applyFont="1" applyBorder="1"/>
    <xf numFmtId="0" fontId="19" fillId="0" borderId="18" xfId="0" applyFont="1" applyBorder="1" applyAlignment="1">
      <alignment horizontal="left" vertical="top"/>
    </xf>
    <xf numFmtId="0" fontId="18" fillId="39" borderId="11" xfId="0" applyFont="1" applyFill="1" applyBorder="1" applyAlignment="1">
      <alignment horizontal="center" vertical="top" wrapText="1"/>
    </xf>
    <xf numFmtId="0" fontId="18" fillId="39" borderId="11" xfId="0" applyFont="1" applyFill="1" applyBorder="1" applyAlignment="1">
      <alignment horizontal="center" vertical="top"/>
    </xf>
    <xf numFmtId="3" fontId="19" fillId="0" borderId="13" xfId="0" applyNumberFormat="1" applyFont="1" applyBorder="1" applyAlignment="1">
      <alignment horizontal="center" vertical="top"/>
    </xf>
    <xf numFmtId="0" fontId="19" fillId="0" borderId="13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left" vertical="top"/>
    </xf>
    <xf numFmtId="0" fontId="0" fillId="0" borderId="19" xfId="0" applyBorder="1"/>
    <xf numFmtId="0" fontId="0" fillId="40" borderId="0" xfId="0" applyFill="1"/>
    <xf numFmtId="0" fontId="19" fillId="0" borderId="18" xfId="0" applyFont="1" applyBorder="1" applyAlignment="1">
      <alignment horizontal="center" vertical="top"/>
    </xf>
    <xf numFmtId="0" fontId="0" fillId="0" borderId="13" xfId="0" applyBorder="1"/>
    <xf numFmtId="0" fontId="0" fillId="0" borderId="18" xfId="0" applyBorder="1"/>
    <xf numFmtId="0" fontId="0" fillId="0" borderId="14" xfId="0" applyBorder="1"/>
    <xf numFmtId="0" fontId="0" fillId="0" borderId="12" xfId="0" applyBorder="1"/>
    <xf numFmtId="0" fontId="19" fillId="0" borderId="14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9" fillId="40" borderId="0" xfId="0" applyFont="1" applyFill="1" applyAlignment="1">
      <alignment horizontal="left" vertical="top"/>
    </xf>
    <xf numFmtId="0" fontId="19" fillId="40" borderId="0" xfId="0" applyFont="1" applyFill="1" applyAlignment="1">
      <alignment horizontal="right" vertical="top"/>
    </xf>
    <xf numFmtId="0" fontId="19" fillId="40" borderId="0" xfId="0" applyFont="1" applyFill="1" applyAlignment="1">
      <alignment horizontal="center" vertical="top"/>
    </xf>
    <xf numFmtId="0" fontId="0" fillId="41" borderId="0" xfId="0" applyFill="1"/>
    <xf numFmtId="0" fontId="19" fillId="0" borderId="14" xfId="0" applyFont="1" applyBorder="1"/>
    <xf numFmtId="3" fontId="19" fillId="0" borderId="14" xfId="0" applyNumberFormat="1" applyFont="1" applyBorder="1"/>
    <xf numFmtId="0" fontId="22" fillId="33" borderId="20" xfId="0" applyFont="1" applyFill="1" applyBorder="1" applyAlignment="1">
      <alignment horizontal="center" vertical="center" wrapText="1"/>
    </xf>
    <xf numFmtId="0" fontId="22" fillId="33" borderId="21" xfId="0" applyFont="1" applyFill="1" applyBorder="1" applyAlignment="1">
      <alignment horizontal="center" vertical="center" wrapText="1"/>
    </xf>
    <xf numFmtId="0" fontId="22" fillId="42" borderId="11" xfId="0" applyFont="1" applyFill="1" applyBorder="1" applyAlignment="1">
      <alignment horizontal="center" vertical="center" wrapText="1"/>
    </xf>
    <xf numFmtId="4" fontId="22" fillId="42" borderId="11" xfId="0" applyNumberFormat="1" applyFont="1" applyFill="1" applyBorder="1" applyAlignment="1">
      <alignment horizontal="right" vertical="center" wrapText="1"/>
    </xf>
    <xf numFmtId="0" fontId="19" fillId="0" borderId="17" xfId="0" applyFont="1" applyBorder="1" applyAlignment="1">
      <alignment horizontal="center"/>
    </xf>
    <xf numFmtId="0" fontId="19" fillId="0" borderId="17" xfId="0" applyFont="1" applyBorder="1" applyAlignment="1">
      <alignment horizontal="left"/>
    </xf>
    <xf numFmtId="0" fontId="19" fillId="0" borderId="17" xfId="0" applyFont="1" applyBorder="1" applyAlignment="1">
      <alignment horizontal="right"/>
    </xf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left"/>
    </xf>
    <xf numFmtId="0" fontId="19" fillId="0" borderId="13" xfId="0" applyFont="1" applyBorder="1" applyAlignment="1">
      <alignment horizontal="right"/>
    </xf>
    <xf numFmtId="0" fontId="19" fillId="34" borderId="13" xfId="0" applyFont="1" applyFill="1" applyBorder="1" applyAlignment="1">
      <alignment horizontal="center"/>
    </xf>
    <xf numFmtId="0" fontId="19" fillId="34" borderId="13" xfId="0" applyFont="1" applyFill="1" applyBorder="1" applyAlignment="1">
      <alignment horizontal="left"/>
    </xf>
    <xf numFmtId="0" fontId="19" fillId="34" borderId="13" xfId="0" applyFont="1" applyFill="1" applyBorder="1" applyAlignment="1">
      <alignment horizontal="right"/>
    </xf>
    <xf numFmtId="4" fontId="19" fillId="0" borderId="13" xfId="0" applyNumberFormat="1" applyFont="1" applyBorder="1" applyAlignment="1">
      <alignment horizontal="right"/>
    </xf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right"/>
    </xf>
    <xf numFmtId="0" fontId="23" fillId="0" borderId="13" xfId="0" applyFont="1" applyBorder="1" applyAlignment="1">
      <alignment horizontal="center" vertical="top"/>
    </xf>
    <xf numFmtId="0" fontId="23" fillId="0" borderId="18" xfId="0" applyFont="1" applyBorder="1" applyAlignment="1">
      <alignment horizontal="center" vertical="top"/>
    </xf>
    <xf numFmtId="0" fontId="23" fillId="0" borderId="12" xfId="0" applyFont="1" applyBorder="1" applyAlignment="1">
      <alignment horizontal="center" vertical="top"/>
    </xf>
    <xf numFmtId="0" fontId="0" fillId="0" borderId="0" xfId="1" applyNumberFormat="1" applyFont="1"/>
    <xf numFmtId="0" fontId="24" fillId="43" borderId="24" xfId="0" applyFont="1" applyFill="1" applyBorder="1" applyAlignment="1">
      <alignment wrapText="1"/>
    </xf>
    <xf numFmtId="0" fontId="25" fillId="44" borderId="24" xfId="0" applyFont="1" applyFill="1" applyBorder="1" applyAlignment="1">
      <alignment wrapText="1"/>
    </xf>
    <xf numFmtId="0" fontId="26" fillId="45" borderId="25" xfId="0" applyFont="1" applyFill="1" applyBorder="1" applyAlignment="1">
      <alignment wrapText="1"/>
    </xf>
    <xf numFmtId="0" fontId="26" fillId="45" borderId="25" xfId="0" applyFont="1" applyFill="1" applyBorder="1" applyAlignment="1">
      <alignment horizontal="right" wrapText="1"/>
    </xf>
    <xf numFmtId="0" fontId="26" fillId="46" borderId="0" xfId="0" applyFont="1" applyFill="1" applyAlignment="1">
      <alignment horizontal="right" wrapText="1"/>
    </xf>
    <xf numFmtId="0" fontId="26" fillId="45" borderId="0" xfId="0" applyFont="1" applyFill="1" applyAlignment="1">
      <alignment horizontal="right" wrapText="1"/>
    </xf>
    <xf numFmtId="0" fontId="27" fillId="0" borderId="26" xfId="0" applyFont="1" applyBorder="1" applyAlignment="1">
      <alignment wrapText="1"/>
    </xf>
    <xf numFmtId="0" fontId="26" fillId="0" borderId="26" xfId="0" applyFont="1" applyBorder="1" applyAlignment="1">
      <alignment horizontal="right" wrapText="1"/>
    </xf>
    <xf numFmtId="0" fontId="26" fillId="0" borderId="26" xfId="0" applyFont="1" applyBorder="1" applyAlignment="1">
      <alignment wrapText="1"/>
    </xf>
    <xf numFmtId="0" fontId="22" fillId="33" borderId="20" xfId="0" applyFont="1" applyFill="1" applyBorder="1" applyAlignment="1">
      <alignment horizontal="center" vertical="center" wrapText="1"/>
    </xf>
    <xf numFmtId="0" fontId="22" fillId="33" borderId="21" xfId="0" applyFont="1" applyFill="1" applyBorder="1" applyAlignment="1">
      <alignment horizontal="center" vertical="center" wrapText="1"/>
    </xf>
    <xf numFmtId="0" fontId="22" fillId="33" borderId="22" xfId="0" applyFont="1" applyFill="1" applyBorder="1" applyAlignment="1">
      <alignment horizontal="center" vertical="center" wrapText="1"/>
    </xf>
    <xf numFmtId="0" fontId="22" fillId="33" borderId="23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9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  <alignment horizontal="right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F4F201-6D4C-4EA9-9DF4-26EF94DD8713}" autoFormatId="16" applyNumberFormats="0" applyBorderFormats="0" applyFontFormats="0" applyPatternFormats="0" applyAlignmentFormats="0" applyWidthHeightFormats="0">
  <queryTableRefresh nextId="77" unboundColumnsRight="10">
    <queryTableFields count="39">
      <queryTableField id="4" name="division_name" tableColumnId="4"/>
      <queryTableField id="2" name="district_name" tableColumnId="2"/>
      <queryTableField id="70" dataBound="0" tableColumnId="3"/>
      <queryTableField id="5" name="length_to2" tableColumnId="5"/>
      <queryTableField id="6" name="veh_total" tableColumnId="6"/>
      <queryTableField id="76" dataBound="0" tableColumnId="26"/>
      <queryTableField id="7" name="avg_iri" tableColumnId="7"/>
      <queryTableField id="10" name="length_ac" tableColumnId="10"/>
      <queryTableField id="11" name="lanemin_ac" tableColumnId="11"/>
      <queryTableField id="12" name="lanemax_ac" tableColumnId="12"/>
      <queryTableField id="13" name="laneavg_ac" tableColumnId="13"/>
      <queryTableField id="14" name="pavewidthavg_ac" tableColumnId="14"/>
      <queryTableField id="15" name="shoulderwidthavg_ac" tableColumnId="15"/>
      <queryTableField id="16" name="length_cc" tableColumnId="16"/>
      <queryTableField id="17" name="lanemin_cc" tableColumnId="17"/>
      <queryTableField id="18" name="lanemax_cc" tableColumnId="18"/>
      <queryTableField id="19" name="laneavg_cc" tableColumnId="19"/>
      <queryTableField id="20" name="pavewidthavg_cc" tableColumnId="20"/>
      <queryTableField id="21" name="shoulderwidthavg_cc" tableColumnId="21"/>
      <queryTableField id="22" name="bicyclelane_sqm" tableColumnId="22"/>
      <queryTableField id="23" name="rest_area_sqm" tableColumnId="23"/>
      <queryTableField id="29" name="sidewalk_sqm" tableColumnId="29"/>
      <queryTableField id="30" name="retainingwall_sqm" tableColumnId="30"/>
      <queryTableField id="31" name="roadmarking_sqm" tableColumnId="31"/>
      <queryTableField id="35" name="road_medians_m" tableColumnId="35"/>
      <queryTableField id="46" name="elevation_mean" tableColumnId="46"/>
      <queryTableField id="47" name="elevation_var" tableColumnId="47"/>
      <queryTableField id="48" name="slope_mean" tableColumnId="48"/>
      <queryTableField id="49" name="slope_var" tableColumnId="49"/>
      <queryTableField id="69" dataBound="0" tableColumnId="1"/>
      <queryTableField id="64" dataBound="0" tableColumnId="63"/>
      <queryTableField id="72" dataBound="0" tableColumnId="9"/>
      <queryTableField id="65" dataBound="0" tableColumnId="64"/>
      <queryTableField id="71" dataBound="0" tableColumnId="8"/>
      <queryTableField id="66" dataBound="0" tableColumnId="65"/>
      <queryTableField id="73" dataBound="0" tableColumnId="24"/>
      <queryTableField id="67" dataBound="0" tableColumnId="66"/>
      <queryTableField id="68" dataBound="0" tableColumnId="67"/>
      <queryTableField id="75" dataBound="0" tableColumnId="25"/>
    </queryTableFields>
    <queryTableDeletedFields count="22">
      <deletedField name="depot_code"/>
      <deletedField name="Column1"/>
      <deletedField name="roadside_sqm"/>
      <deletedField name="roadsidepipe_m"/>
      <deletedField name="roadsidepipe_v"/>
      <deletedField name="drainage_m"/>
      <deletedField name="drainage_v"/>
      <deletedField name="culvertpipe_m"/>
      <deletedField name="culvertpipe_v"/>
      <deletedField name="pipebridge_v"/>
      <deletedField name="pavilion_num"/>
      <deletedField name="tunnel_m"/>
      <deletedField name="tunnel_num"/>
      <deletedField name="traffic_sign_num"/>
      <deletedField name="km_stone_num"/>
      <deletedField name="delineation_num"/>
      <deletedField name="building_num"/>
      <deletedField name="rest_area_num"/>
      <deletedField name="glare_protection_num"/>
      <deletedField name="noise_barrier_num"/>
      <deletedField name="min_iri"/>
      <deletedField name="max_iri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888EE-E1D3-4C07-A09B-69584627131F}" name="group_data_final" displayName="group_data_final" ref="A1:AM105" tableType="queryTable" totalsRowShown="0">
  <autoFilter ref="A1:AM105" xr:uid="{7AC888EE-E1D3-4C07-A09B-69584627131F}"/>
  <sortState xmlns:xlrd2="http://schemas.microsoft.com/office/spreadsheetml/2017/richdata2" ref="A2:AM105">
    <sortCondition ref="C2:C105"/>
  </sortState>
  <tableColumns count="39">
    <tableColumn id="4" xr3:uid="{886BD886-C3E6-4ADD-A285-D48F78355374}" uniqueName="4" name="division_name" queryTableFieldId="4" dataDxfId="8"/>
    <tableColumn id="2" xr3:uid="{5EC85E3A-39C0-4021-BB29-C0D87E352AE4}" uniqueName="2" name="district_name" queryTableFieldId="2" dataDxfId="7"/>
    <tableColumn id="3" xr3:uid="{F4542F84-3949-4BF4-9C14-B4A59348753C}" uniqueName="3" name="depot_code" queryTableFieldId="70" dataDxfId="6"/>
    <tableColumn id="5" xr3:uid="{E5E6C2C5-C3DC-4959-820F-CB29DB968F70}" uniqueName="5" name="length_to2" queryTableFieldId="5"/>
    <tableColumn id="6" xr3:uid="{60AC3904-5BAA-4A14-9D09-8561CD5CD22E}" uniqueName="6" name="veh_total" queryTableFieldId="6"/>
    <tableColumn id="26" xr3:uid="{A3088DD5-9D74-4374-B8B8-C9BF9452BDB3}" uniqueName="26" name="veh_truck" queryTableFieldId="76"/>
    <tableColumn id="7" xr3:uid="{3E47055D-5A4D-4B8D-B8F3-C9A2F6E025F6}" uniqueName="7" name="avg_iri" queryTableFieldId="7"/>
    <tableColumn id="10" xr3:uid="{A071289B-1B57-4E9C-BFEB-AC25DB1D6598}" uniqueName="10" name="length_ac" queryTableFieldId="10"/>
    <tableColumn id="11" xr3:uid="{6A0A2757-30DB-4FF3-A58F-780409898BD8}" uniqueName="11" name="lanemin_ac" queryTableFieldId="11"/>
    <tableColumn id="12" xr3:uid="{A5E92F9D-63C9-4E0F-B8C3-9B94D92F54F0}" uniqueName="12" name="lanemax_ac" queryTableFieldId="12"/>
    <tableColumn id="13" xr3:uid="{B2C4338B-705C-4C85-B89C-62159A748B71}" uniqueName="13" name="laneavg_ac" queryTableFieldId="13"/>
    <tableColumn id="14" xr3:uid="{EEB8F4A9-EB07-4E7B-A265-3B628749E1E7}" uniqueName="14" name="pavewidthavg_ac" queryTableFieldId="14"/>
    <tableColumn id="15" xr3:uid="{05C05C9F-A8B2-4029-85F0-47600B2C25A6}" uniqueName="15" name="shoulderwidthavg_ac" queryTableFieldId="15"/>
    <tableColumn id="16" xr3:uid="{34B59D66-D76C-4825-A849-5748A99EB448}" uniqueName="16" name="length_cc" queryTableFieldId="16"/>
    <tableColumn id="17" xr3:uid="{831BA1A2-3FF8-484C-B784-372540D4277C}" uniqueName="17" name="lanemin_cc" queryTableFieldId="17"/>
    <tableColumn id="18" xr3:uid="{C550A04F-A722-43C2-8D35-18457E98D8C8}" uniqueName="18" name="lanemax_cc" queryTableFieldId="18"/>
    <tableColumn id="19" xr3:uid="{80287823-C1A9-4478-A5F8-84AA27AD9128}" uniqueName="19" name="laneavg_cc" queryTableFieldId="19"/>
    <tableColumn id="20" xr3:uid="{8F13784F-B70F-4397-ADE6-860886C9E4AF}" uniqueName="20" name="pavewidthavg_cc" queryTableFieldId="20"/>
    <tableColumn id="21" xr3:uid="{B8DAADE3-743E-48EB-A0D1-4C201E2A2A5B}" uniqueName="21" name="shoulderwidthavg_cc" queryTableFieldId="21"/>
    <tableColumn id="22" xr3:uid="{FA054E5E-FE22-4594-A575-9137DC497327}" uniqueName="22" name="bicyclelane_sqm" queryTableFieldId="22"/>
    <tableColumn id="23" xr3:uid="{6FE08D58-DF05-4BC8-B33E-FD437DF9595E}" uniqueName="23" name="rest_area_sqm" queryTableFieldId="23"/>
    <tableColumn id="29" xr3:uid="{3E01199E-A641-48E9-8139-B5BBB0F8B460}" uniqueName="29" name="sidewalk_sqm" queryTableFieldId="29"/>
    <tableColumn id="30" xr3:uid="{642ADBFC-21A8-4252-B60F-1635191F1013}" uniqueName="30" name="retainingwall_sqm" queryTableFieldId="30"/>
    <tableColumn id="31" xr3:uid="{0958FC0B-975E-4253-B00E-8B49FDC46EE5}" uniqueName="31" name="roadmarking_sqm" queryTableFieldId="31"/>
    <tableColumn id="35" xr3:uid="{E26D0BAC-D352-4A7E-9610-52E9EF6F80D8}" uniqueName="35" name="road_medians_m" queryTableFieldId="35"/>
    <tableColumn id="46" xr3:uid="{D6FD5A2C-256C-49B9-AE17-4E9B8E28B61A}" uniqueName="46" name="elevation_mean" queryTableFieldId="46"/>
    <tableColumn id="47" xr3:uid="{3D796320-BC84-4B8D-901E-A040AFFA9054}" uniqueName="47" name="elevation_var" queryTableFieldId="47"/>
    <tableColumn id="48" xr3:uid="{F0286177-D551-4D8D-AFCC-15EEE552632E}" uniqueName="48" name="slope_mean" queryTableFieldId="48"/>
    <tableColumn id="49" xr3:uid="{5214A0FC-5B3F-4EAE-8738-71C411D79A7C}" uniqueName="49" name="slope_var" queryTableFieldId="49"/>
    <tableColumn id="1" xr3:uid="{EAC053DF-4BF4-4F53-871C-B942CA82A859}" uniqueName="1" name="ค่าบำรุงตามระยะทางต่อ 2 ช่องจราจร" queryTableFieldId="69" dataDxfId="5">
      <calculatedColumnFormula>D2*'ราคาต้นทุน (Asset)'!$E$1</calculatedColumnFormula>
    </tableColumn>
    <tableColumn id="63" xr3:uid="{952E40A6-A336-43AD-8CE9-CD00543DABF1}" uniqueName="63" name="ค่าบำรุงทรัพย์สิน" queryTableFieldId="64" dataCellStyle="Comma">
      <calculatedColumnFormula array="1">_xlfn.LET(_xlpm.result,INDEX(ASSET!U:U, MATCH(TRIM($C2), TRIM(ASSET!$A:$A), 0)),IF(ISNUMBER(SEARCH("-", _xlpm.result)), 0, _xlpm.result))</calculatedColumnFormula>
    </tableColumn>
    <tableColumn id="9" xr3:uid="{62E91A92-C584-44AB-A46C-2E5F1F051772}" uniqueName="9" name="จำนวนจุดกางเต็นท์" queryTableFieldId="72" dataDxfId="4" dataCellStyle="Comma">
      <calculatedColumnFormula>group_data_final[[#This Row],[ค่าบำรุงจุดกางเต็นท์]]/300000</calculatedColumnFormula>
    </tableColumn>
    <tableColumn id="64" xr3:uid="{B127428E-AE2C-4D20-8B38-DDCA5D66F222}" uniqueName="64" name="ค่าบำรุงจุดกางเต็นท์" queryTableFieldId="65">
      <calculatedColumnFormula array="1">_xlfn.LET(_xlpm.result,INDEX(ราคาค่าบำรุง!D:D, MATCH(TRIM($C2), TRIM(ราคาค่าบำรุง!$A:$A), 0)),IF(ISNUMBER(SEARCH("-", _xlpm.result)), 0, _xlpm.result))</calculatedColumnFormula>
    </tableColumn>
    <tableColumn id="8" xr3:uid="{1F3680CA-2277-41AD-BE14-07D7895DDA34}" uniqueName="8" name="จำนวนจุดพักรถ" queryTableFieldId="71" dataDxfId="3" dataCellStyle="Comma">
      <calculatedColumnFormula>group_data_final[[#This Row],[ค่าบำรุงจุดพักรถ]]/300000</calculatedColumnFormula>
    </tableColumn>
    <tableColumn id="65" xr3:uid="{1490E2C0-DD5D-4651-8EC4-8308CBCDA631}" uniqueName="65" name="ค่าบำรุงจุดพักรถ" queryTableFieldId="66">
      <calculatedColumnFormula array="1">_xlfn.LET(_xlpm.result,INDEX(ราคาค่าบำรุง!F:F, MATCH(TRIM($C2), TRIM(ราคาค่าบำรุง!$A:$A), 0)),IF(ISNUMBER(SEARCH("-", _xlpm.result)), 0, _xlpm.result))</calculatedColumnFormula>
    </tableColumn>
    <tableColumn id="24" xr3:uid="{974349A9-69E4-4BF3-BD87-3A2EFE2D650C}" uniqueName="24" name="จำนวนภูมิสถาปัตย์" queryTableFieldId="73" dataDxfId="2" dataCellStyle="Comma">
      <calculatedColumnFormula>group_data_final[[#This Row],[ค่าบำรุงภูมิสถาปัตย์]]/300000</calculatedColumnFormula>
    </tableColumn>
    <tableColumn id="66" xr3:uid="{1AAC3061-9801-4867-B40E-BE7171E97445}" uniqueName="66" name="ค่าบำรุงภูมิสถาปัตย์" queryTableFieldId="67">
      <calculatedColumnFormula array="1">_xlfn.LET(_xlpm.result,INDEX(ราคาค่าบำรุง!H:H, MATCH(TRIM($C2), TRIM(ราคาค่าบำรุง!$A:$A), 0)),IF(ISNUMBER(SEARCH("-", _xlpm.result)), 0, _xlpm.result))</calculatedColumnFormula>
    </tableColumn>
    <tableColumn id="67" xr3:uid="{583B9D65-71DF-4847-9D31-C30F4D40B341}" uniqueName="67" name="พื้นที่ฝนชุก" queryTableFieldId="68" dataDxfId="1">
      <calculatedColumnFormula>IF(OR(COUNTIF(B2,"*กระบี่*"),COUNTIF(B2,"*จันทบุรี*"),COUNTIF(B2,"*ชุมพร*"),COUNTIF(B2,"*เชียงราย*"),COUNTIF(B2,"*ตรัง*"),COUNTIF(B2,"*นครนายก*"),COUNTIF(B2,"*ปราจีนบุรี*"),COUNTIF(B2,"*พัทลุง*"),COUNTIF(B2,"*ภูเก็ต*"),COUNTIF(B2,"*ยะลา*"),COUNTIF(B2,"*สกลนคร*"),COUNTIF(B2,"*สตูล*"),COUNTIF(B2,"*หนองคาย*"),COUNTIF(B2,"*สุราษฎร์ธานี*"),COUNTIF(B2,"*ปัตตานี*")),2,
IF(OR(COUNTIF(B2,"*ตราด*"),COUNTIF(B2,"*นครพนม*"),COUNTIF(B2,"*นครศรีธรรมราช*"),COUNTIF(B2,"*นราธิวาส*"),COUNTIF(B2,"*บึงกาฬ*"),COUNTIF(B2,"*พังงา*"),COUNTIF(B2,"*ระนอง*"),COUNTIF(B2,"*สงขลา*")),4,0))</calculatedColumnFormula>
    </tableColumn>
    <tableColumn id="25" xr3:uid="{DD1F9D15-3E85-4005-A625-FB8D4540D1D6}" uniqueName="25" name="sum_งบแผน68" queryTableFieldId="75" dataDxfId="0">
      <calculatedColumnFormula>_xlfn.XLOOKUP(group_data_final[[#This Row],[depot_code]],C:C,แผน68!D:D)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D939-3D95-436D-AB62-CAD7A9B06D1A}">
  <dimension ref="A1:AN105"/>
  <sheetViews>
    <sheetView tabSelected="1" topLeftCell="AD1" workbookViewId="0">
      <pane ySplit="1" topLeftCell="A2" activePane="bottomLeft" state="frozen"/>
      <selection pane="bottomLeft" activeCell="AI17" sqref="AI17"/>
    </sheetView>
  </sheetViews>
  <sheetFormatPr defaultRowHeight="15"/>
  <cols>
    <col min="1" max="1" width="37.140625" bestFit="1" customWidth="1"/>
    <col min="2" max="2" width="30.85546875" bestFit="1" customWidth="1"/>
    <col min="3" max="3" width="30.85546875" style="39" customWidth="1"/>
    <col min="4" max="4" width="28" customWidth="1"/>
    <col min="5" max="6" width="34" customWidth="1"/>
    <col min="7" max="7" width="11.5703125" bestFit="1" customWidth="1"/>
    <col min="8" max="8" width="16.85546875" customWidth="1"/>
    <col min="9" max="9" width="15.140625" customWidth="1"/>
    <col min="10" max="10" width="13.42578125" bestFit="1" customWidth="1"/>
    <col min="11" max="11" width="24.7109375" customWidth="1"/>
    <col min="12" max="12" width="13" bestFit="1" customWidth="1"/>
    <col min="13" max="13" width="50.7109375" customWidth="1"/>
    <col min="14" max="14" width="22.42578125" bestFit="1" customWidth="1"/>
    <col min="15" max="15" width="11.85546875" bestFit="1" customWidth="1"/>
    <col min="16" max="16" width="13.42578125" bestFit="1" customWidth="1"/>
    <col min="17" max="17" width="13.7109375" bestFit="1" customWidth="1"/>
    <col min="18" max="18" width="13" bestFit="1" customWidth="1"/>
    <col min="19" max="19" width="18.5703125" bestFit="1" customWidth="1"/>
    <col min="20" max="20" width="22.42578125" bestFit="1" customWidth="1"/>
    <col min="21" max="21" width="18.42578125" bestFit="1" customWidth="1"/>
    <col min="22" max="22" width="14" bestFit="1" customWidth="1"/>
    <col min="23" max="23" width="16" bestFit="1" customWidth="1"/>
    <col min="24" max="24" width="19.85546875" bestFit="1" customWidth="1"/>
    <col min="25" max="25" width="24.7109375" customWidth="1"/>
    <col min="26" max="27" width="34.28515625" customWidth="1"/>
    <col min="28" max="28" width="15.42578125" bestFit="1" customWidth="1"/>
    <col min="29" max="29" width="14.140625" bestFit="1" customWidth="1"/>
    <col min="30" max="30" width="42.7109375" customWidth="1"/>
    <col min="31" max="31" width="35.140625" style="1" customWidth="1"/>
    <col min="32" max="32" width="20.5703125" style="66" customWidth="1"/>
    <col min="33" max="33" width="26.5703125" customWidth="1"/>
    <col min="34" max="34" width="17.7109375" customWidth="1"/>
    <col min="35" max="36" width="22.28515625" customWidth="1"/>
    <col min="37" max="37" width="15.85546875" customWidth="1"/>
    <col min="38" max="38" width="19.85546875" customWidth="1"/>
    <col min="39" max="39" width="29.5703125" customWidth="1"/>
  </cols>
  <sheetData>
    <row r="1" spans="1:40">
      <c r="A1" t="s">
        <v>0</v>
      </c>
      <c r="B1" t="s">
        <v>1</v>
      </c>
      <c r="C1" s="39" t="s">
        <v>2</v>
      </c>
      <c r="D1" t="s">
        <v>3</v>
      </c>
      <c r="E1" t="s">
        <v>4</v>
      </c>
      <c r="F1" t="s">
        <v>529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s="1" t="s">
        <v>29</v>
      </c>
      <c r="AF1" s="66" t="s">
        <v>30</v>
      </c>
      <c r="AG1" s="1" t="s">
        <v>31</v>
      </c>
      <c r="AH1" s="66" t="s">
        <v>32</v>
      </c>
      <c r="AI1" s="1" t="s">
        <v>33</v>
      </c>
      <c r="AJ1" s="66" t="s">
        <v>34</v>
      </c>
      <c r="AK1" s="1" t="s">
        <v>35</v>
      </c>
      <c r="AL1" t="s">
        <v>36</v>
      </c>
      <c r="AM1" t="s">
        <v>521</v>
      </c>
      <c r="AN1" t="s">
        <v>530</v>
      </c>
    </row>
    <row r="2" spans="1:40">
      <c r="A2" t="s">
        <v>37</v>
      </c>
      <c r="B2" t="s">
        <v>38</v>
      </c>
      <c r="C2" s="39">
        <v>311</v>
      </c>
      <c r="D2" cm="1">
        <f t="array" ref="D2">_xlfn.LET(_xlpm.result,INDEX(ระยะทาง!C:C, MATCH(TRIM(C2), TRIM(ระยะทาง!$A:$A), 0)),IF(ISNUMBER(SEARCH("-", _xlpm.result)), 0, _xlpm.result))</f>
        <v>718.5</v>
      </c>
      <c r="E2" cm="1">
        <f t="array" ref="E2">_xlfn.LET(_xlpm.result,INDEX(ระยะทาง!D:D, MATCH(TRIM($C2), TRIM(ระยะทาง!$A:$A), 0)),IF(ISNUMBER(SEARCH("-", _xlpm.result)), 0, _xlpm.result))</f>
        <v>1383993728</v>
      </c>
      <c r="F2">
        <v>174531184</v>
      </c>
      <c r="G2">
        <v>2.6982222222222223</v>
      </c>
      <c r="H2">
        <v>249.25800000000001</v>
      </c>
      <c r="I2">
        <v>1</v>
      </c>
      <c r="J2">
        <v>8</v>
      </c>
      <c r="K2">
        <v>4.4444444444444446</v>
      </c>
      <c r="L2">
        <v>3.714</v>
      </c>
      <c r="M2">
        <v>5</v>
      </c>
      <c r="N2">
        <v>27.280999999999999</v>
      </c>
      <c r="O2">
        <v>2</v>
      </c>
      <c r="P2">
        <v>10</v>
      </c>
      <c r="Q2">
        <v>5.1428571428571432</v>
      </c>
      <c r="R2">
        <v>3.4928571428571429</v>
      </c>
      <c r="S2">
        <v>5.0372000000000003</v>
      </c>
      <c r="T2">
        <v>0</v>
      </c>
      <c r="U2">
        <v>0</v>
      </c>
      <c r="V2">
        <v>31795.915000000001</v>
      </c>
      <c r="W2">
        <v>14974</v>
      </c>
      <c r="X2">
        <v>46223.153999999995</v>
      </c>
      <c r="Y2">
        <v>32681</v>
      </c>
      <c r="Z2">
        <v>18.305698505474034</v>
      </c>
      <c r="AA2">
        <v>60.633393065945917</v>
      </c>
      <c r="AB2">
        <v>-3.5941714635765204E-2</v>
      </c>
      <c r="AC2">
        <v>14.665242673576072</v>
      </c>
      <c r="AD2">
        <f>D2*'ราคาต้นทุน (Asset)'!$E$1</f>
        <v>43110000</v>
      </c>
      <c r="AE2" s="1" cm="1">
        <f t="array" ref="AE2">_xlfn.LET(_xlpm.result,INDEX(ASSET!U:U, MATCH(TRIM($C2), TRIM(ASSET!$A:$A), 0)),IF(ISNUMBER(SEARCH("-", _xlpm.result)), 0, _xlpm.result))</f>
        <v>4993000</v>
      </c>
      <c r="AF2" s="66">
        <f>group_data_final[[#This Row],[ค่าบำรุงจุดกางเต็นท์]]/300000</f>
        <v>0</v>
      </c>
      <c r="AG2" s="1" cm="1">
        <f t="array" ref="AG2">_xlfn.LET(_xlpm.result,INDEX(ราคาค่าบำรุง!D:D, MATCH(TRIM($C2), TRIM(ราคาค่าบำรุง!$A:$A), 0)),IF(ISNUMBER(SEARCH("-", _xlpm.result)), 0, _xlpm.result))</f>
        <v>0</v>
      </c>
      <c r="AH2" s="66">
        <f>group_data_final[[#This Row],[ค่าบำรุงจุดพักรถ]]/300000</f>
        <v>0</v>
      </c>
      <c r="AI2" s="1" cm="1">
        <f t="array" ref="AI2">_xlfn.LET(_xlpm.result,INDEX(ราคาค่าบำรุง!F:F, MATCH(TRIM($C2), TRIM(ราคาค่าบำรุง!$A:$A), 0)),IF(ISNUMBER(SEARCH("-", _xlpm.result)), 0, _xlpm.result))</f>
        <v>0</v>
      </c>
      <c r="AJ2" s="66">
        <f>group_data_final[[#This Row],[ค่าบำรุงภูมิสถาปัตย์]]/300000</f>
        <v>0</v>
      </c>
      <c r="AK2" s="1" cm="1">
        <f t="array" ref="AK2">_xlfn.LET(_xlpm.result,INDEX(ราคาค่าบำรุง!H:H, MATCH(TRIM($C2), TRIM(ราคาค่าบำรุง!$A:$A), 0)),IF(ISNUMBER(SEARCH("-", _xlpm.result)), 0, _xlpm.result))</f>
        <v>0</v>
      </c>
      <c r="AL2">
        <f t="shared" ref="AL2:AL33" si="0">IF(OR(COUNTIF(B2,"*กระบี่*"),COUNTIF(B2,"*จันทบุรี*"),COUNTIF(B2,"*ชุมพร*"),COUNTIF(B2,"*เชียงราย*"),COUNTIF(B2,"*ตรัง*"),COUNTIF(B2,"*นครนายก*"),COUNTIF(B2,"*ปราจีนบุรี*"),COUNTIF(B2,"*พัทลุง*"),COUNTIF(B2,"*ภูเก็ต*"),COUNTIF(B2,"*ยะลา*"),COUNTIF(B2,"*สกลนคร*"),COUNTIF(B2,"*สตูล*"),COUNTIF(B2,"*หนองคาย*"),COUNTIF(B2,"*สุราษฎร์ธานี*"),COUNTIF(B2,"*ปัตตานี*")),2,
IF(OR(COUNTIF(B2,"*ตราด*"),COUNTIF(B2,"*นครพนม*"),COUNTIF(B2,"*นครศรีธรรมราช*"),COUNTIF(B2,"*นราธิวาส*"),COUNTIF(B2,"*บึงกาฬ*"),COUNTIF(B2,"*พังงา*"),COUNTIF(B2,"*ระนอง*"),COUNTIF(B2,"*สงขลา*")),4,0))</f>
        <v>4</v>
      </c>
      <c r="AM2">
        <f>_xlfn.XLOOKUP(group_data_final[[#This Row],[depot_code]],C:C,แผน68!D:D)</f>
        <v>20573476</v>
      </c>
      <c r="AN2">
        <v>17246.601999999999</v>
      </c>
    </row>
    <row r="3" spans="1:40" s="32" customFormat="1" ht="24">
      <c r="A3" s="32" t="s">
        <v>37</v>
      </c>
      <c r="B3" s="40" t="s">
        <v>39</v>
      </c>
      <c r="C3" s="41">
        <v>312</v>
      </c>
      <c r="D3" cm="1">
        <f t="array" ref="D3">_xlfn.LET(_xlpm.result,INDEX(ระยะทาง!C:C, MATCH(TRIM(C3), TRIM(ระยะทาง!$A:$A), 0)),IF(ISNUMBER(SEARCH("-", _xlpm.result)), 0, _xlpm.result))</f>
        <v>557.19200000000001</v>
      </c>
      <c r="E3" cm="1">
        <f t="array" ref="E3">_xlfn.LET(_xlpm.result,INDEX(ระยะทาง!D:D, MATCH(TRIM($C3), TRIM(ระยะทาง!$A:$A), 0)),IF(ISNUMBER(SEARCH("-", _xlpm.result)), 0, _xlpm.result))</f>
        <v>1880891403</v>
      </c>
      <c r="F3">
        <v>125911304</v>
      </c>
      <c r="G3" s="32">
        <v>2.6982222222222223</v>
      </c>
      <c r="H3" s="32">
        <v>557.19200000000001</v>
      </c>
      <c r="I3" s="32">
        <v>1</v>
      </c>
      <c r="J3" s="32">
        <v>8</v>
      </c>
      <c r="K3" s="32">
        <v>4.4444444444444446</v>
      </c>
      <c r="L3" s="32">
        <v>3.714</v>
      </c>
      <c r="M3" s="32">
        <v>5</v>
      </c>
      <c r="N3" s="32">
        <v>0</v>
      </c>
      <c r="O3" s="32">
        <v>2</v>
      </c>
      <c r="P3" s="32">
        <v>10</v>
      </c>
      <c r="Q3" s="32">
        <v>5.1428571428571432</v>
      </c>
      <c r="R3" s="32">
        <v>3.4928571428571429</v>
      </c>
      <c r="S3" s="32">
        <v>5.0372000000000003</v>
      </c>
      <c r="T3" s="32">
        <v>0</v>
      </c>
      <c r="U3" s="32">
        <v>0</v>
      </c>
      <c r="V3" s="32">
        <v>31795.915000000001</v>
      </c>
      <c r="W3" s="32">
        <v>14974</v>
      </c>
      <c r="X3" s="32">
        <v>46223.153999999995</v>
      </c>
      <c r="Y3" s="32">
        <v>32681</v>
      </c>
      <c r="Z3" s="32">
        <v>18.305698505474034</v>
      </c>
      <c r="AA3" s="32">
        <v>60.633393065945917</v>
      </c>
      <c r="AB3" s="32">
        <v>-3.5941714635765204E-2</v>
      </c>
      <c r="AC3" s="32">
        <v>14.665242673576072</v>
      </c>
      <c r="AD3">
        <f>D3*'ราคาต้นทุน (Asset)'!$E$1</f>
        <v>33431520</v>
      </c>
      <c r="AE3" s="1" cm="1">
        <f t="array" ref="AE3">_xlfn.LET(_xlpm.result,INDEX(ASSET!U:U, MATCH(TRIM($C3), TRIM(ASSET!$A:$A), 0)),IF(ISNUMBER(SEARCH("-", _xlpm.result)), 0, _xlpm.result))</f>
        <v>2795800</v>
      </c>
      <c r="AF3" s="66">
        <f>group_data_final[[#This Row],[ค่าบำรุงจุดกางเต็นท์]]/300000</f>
        <v>0</v>
      </c>
      <c r="AG3" s="1" cm="1">
        <f t="array" ref="AG3">_xlfn.LET(_xlpm.result,INDEX(ราคาค่าบำรุง!D:D, MATCH(TRIM($C3), TRIM(ราคาค่าบำรุง!$A:$A), 0)),IF(ISNUMBER(SEARCH("-", _xlpm.result)), 0, _xlpm.result))</f>
        <v>0</v>
      </c>
      <c r="AH3" s="66">
        <f>group_data_final[[#This Row],[ค่าบำรุงจุดพักรถ]]/300000</f>
        <v>1</v>
      </c>
      <c r="AI3" s="1" cm="1">
        <f t="array" ref="AI3">_xlfn.LET(_xlpm.result,INDEX(ราคาค่าบำรุง!F:F, MATCH(TRIM($C3), TRIM(ราคาค่าบำรุง!$A:$A), 0)),IF(ISNUMBER(SEARCH("-", _xlpm.result)), 0, _xlpm.result))</f>
        <v>300000</v>
      </c>
      <c r="AJ3" s="66">
        <f>group_data_final[[#This Row],[ค่าบำรุงภูมิสถาปัตย์]]/300000</f>
        <v>3</v>
      </c>
      <c r="AK3" s="1" cm="1">
        <f t="array" ref="AK3">_xlfn.LET(_xlpm.result,INDEX(ราคาค่าบำรุง!H:H, MATCH(TRIM($C3), TRIM(ราคาค่าบำรุง!$A:$A), 0)),IF(ISNUMBER(SEARCH("-", _xlpm.result)), 0, _xlpm.result))</f>
        <v>900000</v>
      </c>
      <c r="AL3" s="32">
        <f t="shared" si="0"/>
        <v>2</v>
      </c>
      <c r="AM3">
        <f>_xlfn.XLOOKUP(group_data_final[[#This Row],[depot_code]],C:C,แผน68!D:D)</f>
        <v>24198050.16</v>
      </c>
      <c r="AN3">
        <v>7504</v>
      </c>
    </row>
    <row r="4" spans="1:40" s="32" customFormat="1" ht="24">
      <c r="A4" s="32" t="s">
        <v>37</v>
      </c>
      <c r="B4" s="40" t="s">
        <v>40</v>
      </c>
      <c r="C4" s="41">
        <v>313</v>
      </c>
      <c r="D4" cm="1">
        <f t="array" ref="D4">_xlfn.LET(_xlpm.result,INDEX(ระยะทาง!C:C, MATCH(TRIM(C4), TRIM(ระยะทาง!$A:$A), 0)),IF(ISNUMBER(SEARCH("-", _xlpm.result)), 0, _xlpm.result))</f>
        <v>536.76499999999999</v>
      </c>
      <c r="E4" cm="1">
        <f t="array" ref="E4">_xlfn.LET(_xlpm.result,INDEX(ระยะทาง!D:D, MATCH(TRIM($C4), TRIM(ระยะทาง!$A:$A), 0)),IF(ISNUMBER(SEARCH("-", _xlpm.result)), 0, _xlpm.result))</f>
        <v>1049852638</v>
      </c>
      <c r="F4">
        <v>132556047</v>
      </c>
      <c r="G4" s="32">
        <v>2.4987777777777778</v>
      </c>
      <c r="H4" s="32">
        <v>536.76499999999999</v>
      </c>
      <c r="I4" s="32">
        <v>1</v>
      </c>
      <c r="J4" s="32">
        <v>8</v>
      </c>
      <c r="K4" s="32">
        <v>4.4444444444444446</v>
      </c>
      <c r="L4" s="32">
        <v>3.714</v>
      </c>
      <c r="M4" s="32">
        <v>5</v>
      </c>
      <c r="N4" s="32">
        <v>0</v>
      </c>
      <c r="O4" s="32">
        <v>2</v>
      </c>
      <c r="P4" s="32">
        <v>10</v>
      </c>
      <c r="Q4" s="32">
        <v>5.1428571428571432</v>
      </c>
      <c r="R4" s="32">
        <v>3.4928571428571429</v>
      </c>
      <c r="S4" s="32">
        <v>5.0372000000000003</v>
      </c>
      <c r="T4" s="32">
        <v>0</v>
      </c>
      <c r="U4" s="32">
        <v>0</v>
      </c>
      <c r="V4" s="32">
        <v>31795.915000000001</v>
      </c>
      <c r="W4" s="32">
        <v>14974</v>
      </c>
      <c r="X4" s="32">
        <v>46223.153999999995</v>
      </c>
      <c r="Y4" s="32">
        <v>32681</v>
      </c>
      <c r="Z4" s="32">
        <v>18.305698505474034</v>
      </c>
      <c r="AA4" s="32">
        <v>60.633393065945917</v>
      </c>
      <c r="AB4" s="32">
        <v>-3.5941714635765204E-2</v>
      </c>
      <c r="AC4" s="32">
        <v>14.665242673576072</v>
      </c>
      <c r="AD4">
        <f>D4*'ราคาต้นทุน (Asset)'!$E$1</f>
        <v>32205900</v>
      </c>
      <c r="AE4" s="1" cm="1">
        <f t="array" ref="AE4">_xlfn.LET(_xlpm.result,INDEX(ASSET!U:U, MATCH(TRIM($C4), TRIM(ASSET!$A:$A), 0)),IF(ISNUMBER(SEARCH("-", _xlpm.result)), 0, _xlpm.result))</f>
        <v>2525100</v>
      </c>
      <c r="AF4" s="66">
        <f>group_data_final[[#This Row],[ค่าบำรุงจุดกางเต็นท์]]/300000</f>
        <v>2</v>
      </c>
      <c r="AG4" s="1" cm="1">
        <f t="array" ref="AG4">_xlfn.LET(_xlpm.result,INDEX(ราคาค่าบำรุง!D:D, MATCH(TRIM($C4), TRIM(ราคาค่าบำรุง!$A:$A), 0)),IF(ISNUMBER(SEARCH("-", _xlpm.result)), 0, _xlpm.result))</f>
        <v>600000</v>
      </c>
      <c r="AH4" s="66">
        <f>group_data_final[[#This Row],[ค่าบำรุงจุดพักรถ]]/300000</f>
        <v>0</v>
      </c>
      <c r="AI4" s="1" cm="1">
        <f t="array" ref="AI4">_xlfn.LET(_xlpm.result,INDEX(ราคาค่าบำรุง!F:F, MATCH(TRIM($C4), TRIM(ราคาค่าบำรุง!$A:$A), 0)),IF(ISNUMBER(SEARCH("-", _xlpm.result)), 0, _xlpm.result))</f>
        <v>0</v>
      </c>
      <c r="AJ4" s="66">
        <f>group_data_final[[#This Row],[ค่าบำรุงภูมิสถาปัตย์]]/300000</f>
        <v>0</v>
      </c>
      <c r="AK4" s="1" cm="1">
        <f t="array" ref="AK4">_xlfn.LET(_xlpm.result,INDEX(ราคาค่าบำรุง!H:H, MATCH(TRIM($C4), TRIM(ราคาค่าบำรุง!$A:$A), 0)),IF(ISNUMBER(SEARCH("-", _xlpm.result)), 0, _xlpm.result))</f>
        <v>0</v>
      </c>
      <c r="AL4" s="32">
        <f t="shared" si="0"/>
        <v>2</v>
      </c>
      <c r="AM4">
        <f>_xlfn.XLOOKUP(group_data_final[[#This Row],[depot_code]],C:C,แผน68!D:D)</f>
        <v>56319717.350000001</v>
      </c>
      <c r="AN4">
        <v>13095.525</v>
      </c>
    </row>
    <row r="5" spans="1:40">
      <c r="A5" t="s">
        <v>41</v>
      </c>
      <c r="B5" t="s">
        <v>42</v>
      </c>
      <c r="C5" s="39">
        <v>314</v>
      </c>
      <c r="D5" cm="1">
        <f t="array" ref="D5">_xlfn.LET(_xlpm.result,INDEX(ระยะทาง!C:C, MATCH(TRIM(C5), TRIM(ระยะทาง!$A:$A), 0)),IF(ISNUMBER(SEARCH("-", _xlpm.result)), 0, _xlpm.result))</f>
        <v>585.505</v>
      </c>
      <c r="E5" cm="1">
        <f t="array" ref="E5">_xlfn.LET(_xlpm.result,INDEX(ระยะทาง!D:D, MATCH(TRIM($C5), TRIM(ระยะทาง!$A:$A), 0)),IF(ISNUMBER(SEARCH("-", _xlpm.result)), 0, _xlpm.result))</f>
        <v>2304304359</v>
      </c>
      <c r="F5">
        <v>299072110</v>
      </c>
      <c r="G5">
        <v>1.9690000000000001</v>
      </c>
      <c r="H5">
        <v>249.411</v>
      </c>
      <c r="I5">
        <v>2</v>
      </c>
      <c r="J5">
        <v>8</v>
      </c>
      <c r="K5">
        <v>3.7142857142857144</v>
      </c>
      <c r="L5">
        <v>3.5</v>
      </c>
      <c r="M5">
        <v>5</v>
      </c>
      <c r="N5">
        <v>3.9</v>
      </c>
      <c r="O5">
        <v>4</v>
      </c>
      <c r="P5">
        <v>4</v>
      </c>
      <c r="Q5">
        <v>4</v>
      </c>
      <c r="R5">
        <v>3.5</v>
      </c>
      <c r="S5">
        <v>4.9375</v>
      </c>
      <c r="T5">
        <v>0</v>
      </c>
      <c r="U5">
        <v>0</v>
      </c>
      <c r="V5">
        <v>142427.25</v>
      </c>
      <c r="W5">
        <v>0</v>
      </c>
      <c r="X5">
        <v>179726.193</v>
      </c>
      <c r="Y5">
        <v>80513.558000000005</v>
      </c>
      <c r="Z5">
        <v>30.83689249242039</v>
      </c>
      <c r="AA5">
        <v>195.5751083626831</v>
      </c>
      <c r="AB5">
        <v>-3.5907170389482955E-2</v>
      </c>
      <c r="AC5">
        <v>17.145254710793548</v>
      </c>
      <c r="AD5">
        <f>D5*'ราคาต้นทุน (Asset)'!$E$1</f>
        <v>35130300</v>
      </c>
      <c r="AE5" s="1" cm="1">
        <f t="array" ref="AE5">_xlfn.LET(_xlpm.result,INDEX(ASSET!U:U, MATCH(TRIM($C5), TRIM(ASSET!$A:$A), 0)),IF(ISNUMBER(SEARCH("-", _xlpm.result)), 0, _xlpm.result))</f>
        <v>2923900</v>
      </c>
      <c r="AF5" s="66">
        <f>group_data_final[[#This Row],[ค่าบำรุงจุดกางเต็นท์]]/300000</f>
        <v>0</v>
      </c>
      <c r="AG5" s="1" cm="1">
        <f t="array" ref="AG5">_xlfn.LET(_xlpm.result,INDEX(ราคาค่าบำรุง!D:D, MATCH(TRIM($C5), TRIM(ราคาค่าบำรุง!$A:$A), 0)),IF(ISNUMBER(SEARCH("-", _xlpm.result)), 0, _xlpm.result))</f>
        <v>0</v>
      </c>
      <c r="AH5" s="66">
        <f>group_data_final[[#This Row],[ค่าบำรุงจุดพักรถ]]/300000</f>
        <v>3</v>
      </c>
      <c r="AI5" s="1" cm="1">
        <f t="array" ref="AI5">_xlfn.LET(_xlpm.result,INDEX(ราคาค่าบำรุง!F:F, MATCH(TRIM($C5), TRIM(ราคาค่าบำรุง!$A:$A), 0)),IF(ISNUMBER(SEARCH("-", _xlpm.result)), 0, _xlpm.result))</f>
        <v>900000</v>
      </c>
      <c r="AJ5" s="66">
        <f>group_data_final[[#This Row],[ค่าบำรุงภูมิสถาปัตย์]]/300000</f>
        <v>0</v>
      </c>
      <c r="AK5" s="1" cm="1">
        <f t="array" ref="AK5">_xlfn.LET(_xlpm.result,INDEX(ราคาค่าบำรุง!H:H, MATCH(TRIM($C5), TRIM(ราคาค่าบำรุง!$A:$A), 0)),IF(ISNUMBER(SEARCH("-", _xlpm.result)), 0, _xlpm.result))</f>
        <v>0</v>
      </c>
      <c r="AL5">
        <f t="shared" si="0"/>
        <v>2</v>
      </c>
      <c r="AM5">
        <f>_xlfn.XLOOKUP(group_data_final[[#This Row],[depot_code]],C:C,แผน68!D:D)</f>
        <v>16076823.02</v>
      </c>
      <c r="AN5">
        <v>7998.2</v>
      </c>
    </row>
    <row r="6" spans="1:40" s="32" customFormat="1" ht="24">
      <c r="A6" s="32" t="s">
        <v>37</v>
      </c>
      <c r="B6" s="40" t="s">
        <v>43</v>
      </c>
      <c r="C6" s="41">
        <v>317</v>
      </c>
      <c r="D6" cm="1">
        <f t="array" ref="D6">_xlfn.LET(_xlpm.result,INDEX(ระยะทาง!C:C, MATCH(TRIM(C6), TRIM(ระยะทาง!$A:$A), 0)),IF(ISNUMBER(SEARCH("-", _xlpm.result)), 0, _xlpm.result))</f>
        <v>863.31700000000001</v>
      </c>
      <c r="E6" cm="1">
        <f t="array" ref="E6">_xlfn.LET(_xlpm.result,INDEX(ระยะทาง!D:D, MATCH(TRIM($C6), TRIM(ระยะทาง!$A:$A), 0)),IF(ISNUMBER(SEARCH("-", _xlpm.result)), 0, _xlpm.result))</f>
        <v>946556998</v>
      </c>
      <c r="F6">
        <v>299063703</v>
      </c>
      <c r="G6" s="43">
        <v>2.6982222222222223</v>
      </c>
      <c r="H6" s="42">
        <v>863.31700000000001</v>
      </c>
      <c r="I6" s="43">
        <v>1</v>
      </c>
      <c r="J6" s="43">
        <v>8</v>
      </c>
      <c r="K6" s="43">
        <v>4.4444444444444446</v>
      </c>
      <c r="L6" s="43">
        <v>3.714</v>
      </c>
      <c r="M6" s="43">
        <v>5</v>
      </c>
      <c r="N6" s="43">
        <v>0</v>
      </c>
      <c r="O6" s="43">
        <v>2</v>
      </c>
      <c r="P6" s="43">
        <v>10</v>
      </c>
      <c r="Q6" s="43">
        <v>5.1428571428571432</v>
      </c>
      <c r="R6" s="43">
        <v>3.4928571428571429</v>
      </c>
      <c r="S6" s="43">
        <v>5.0372000000000003</v>
      </c>
      <c r="T6" s="43">
        <v>0</v>
      </c>
      <c r="U6" s="43">
        <v>0</v>
      </c>
      <c r="V6" s="43">
        <v>31795.915000000001</v>
      </c>
      <c r="W6" s="43">
        <v>14974</v>
      </c>
      <c r="X6" s="43">
        <v>46223.153999999995</v>
      </c>
      <c r="Y6" s="43">
        <v>32681</v>
      </c>
      <c r="Z6" s="43">
        <v>18.305698505474034</v>
      </c>
      <c r="AA6" s="43">
        <v>60.633393065945917</v>
      </c>
      <c r="AB6" s="43">
        <v>-3.5941714635765204E-2</v>
      </c>
      <c r="AC6" s="43">
        <v>14.665242673576072</v>
      </c>
      <c r="AD6">
        <f>D6*'ราคาต้นทุน (Asset)'!$E$1</f>
        <v>51799020</v>
      </c>
      <c r="AE6" s="1" cm="1">
        <f t="array" ref="AE6">_xlfn.LET(_xlpm.result,INDEX(ASSET!U:U, MATCH(TRIM($C6), TRIM(ASSET!$A:$A), 0)),IF(ISNUMBER(SEARCH("-", _xlpm.result)), 0, _xlpm.result))</f>
        <v>3634700</v>
      </c>
      <c r="AF6" s="66">
        <f>group_data_final[[#This Row],[ค่าบำรุงจุดกางเต็นท์]]/300000</f>
        <v>0</v>
      </c>
      <c r="AG6" s="1" cm="1">
        <f t="array" ref="AG6">_xlfn.LET(_xlpm.result,INDEX(ราคาค่าบำรุง!D:D, MATCH(TRIM($C6), TRIM(ราคาค่าบำรุง!$A:$A), 0)),IF(ISNUMBER(SEARCH("-", _xlpm.result)), 0, _xlpm.result))</f>
        <v>0</v>
      </c>
      <c r="AH6" s="66">
        <f>group_data_final[[#This Row],[ค่าบำรุงจุดพักรถ]]/300000</f>
        <v>0</v>
      </c>
      <c r="AI6" s="1" cm="1">
        <f t="array" ref="AI6">_xlfn.LET(_xlpm.result,INDEX(ราคาค่าบำรุง!F:F, MATCH(TRIM($C6), TRIM(ราคาค่าบำรุง!$A:$A), 0)),IF(ISNUMBER(SEARCH("-", _xlpm.result)), 0, _xlpm.result))</f>
        <v>0</v>
      </c>
      <c r="AJ6" s="66">
        <f>group_data_final[[#This Row],[ค่าบำรุงภูมิสถาปัตย์]]/300000</f>
        <v>0</v>
      </c>
      <c r="AK6" s="1" cm="1">
        <f t="array" ref="AK6">_xlfn.LET(_xlpm.result,INDEX(ราคาค่าบำรุง!H:H, MATCH(TRIM($C6), TRIM(ราคาค่าบำรุง!$A:$A), 0)),IF(ISNUMBER(SEARCH("-", _xlpm.result)), 0, _xlpm.result))</f>
        <v>0</v>
      </c>
      <c r="AL6" s="32">
        <f t="shared" si="0"/>
        <v>4</v>
      </c>
      <c r="AM6">
        <f>_xlfn.XLOOKUP(group_data_final[[#This Row],[depot_code]],C:C,แผน68!D:D)</f>
        <v>38452908.219999999</v>
      </c>
      <c r="AN6">
        <v>14423.5</v>
      </c>
    </row>
    <row r="7" spans="1:40">
      <c r="A7" t="s">
        <v>37</v>
      </c>
      <c r="B7" t="s">
        <v>44</v>
      </c>
      <c r="C7" s="39">
        <v>318</v>
      </c>
      <c r="D7" cm="1">
        <f t="array" ref="D7">_xlfn.LET(_xlpm.result,INDEX(ระยะทาง!C:C, MATCH(TRIM(C7), TRIM(ระยะทาง!$A:$A), 0)),IF(ISNUMBER(SEARCH("-", _xlpm.result)), 0, _xlpm.result))</f>
        <v>518.55200000000002</v>
      </c>
      <c r="E7" cm="1">
        <f t="array" ref="E7">_xlfn.LET(_xlpm.result,INDEX(ระยะทาง!D:D, MATCH(TRIM($C7), TRIM(ระยะทาง!$A:$A), 0)),IF(ISNUMBER(SEARCH("-", _xlpm.result)), 0, _xlpm.result))</f>
        <v>950402637</v>
      </c>
      <c r="F7">
        <v>321027467</v>
      </c>
      <c r="G7">
        <v>2.4987777777777778</v>
      </c>
      <c r="H7">
        <v>356.03199999999998</v>
      </c>
      <c r="I7">
        <v>2</v>
      </c>
      <c r="J7">
        <v>6</v>
      </c>
      <c r="K7">
        <v>3.1111111111111112</v>
      </c>
      <c r="L7">
        <v>3.5</v>
      </c>
      <c r="M7">
        <v>5</v>
      </c>
      <c r="N7">
        <v>9.4779999999999998</v>
      </c>
      <c r="O7">
        <v>4</v>
      </c>
      <c r="P7">
        <v>4</v>
      </c>
      <c r="Q7">
        <v>4</v>
      </c>
      <c r="R7">
        <v>3.4443333333333332</v>
      </c>
      <c r="S7">
        <v>5.2</v>
      </c>
      <c r="T7">
        <v>0</v>
      </c>
      <c r="U7">
        <v>0</v>
      </c>
      <c r="V7">
        <v>105579.07999999999</v>
      </c>
      <c r="W7">
        <v>686.90000000000009</v>
      </c>
      <c r="X7">
        <v>52829.42</v>
      </c>
      <c r="Y7">
        <v>71561</v>
      </c>
      <c r="Z7">
        <v>23.183759047721345</v>
      </c>
      <c r="AA7">
        <v>179.18492589419415</v>
      </c>
      <c r="AB7">
        <v>-0.46172039832114464</v>
      </c>
      <c r="AC7">
        <v>36.43252088351457</v>
      </c>
      <c r="AD7">
        <f>D7*'ราคาต้นทุน (Asset)'!$E$1</f>
        <v>31113120</v>
      </c>
      <c r="AE7" s="1" cm="1">
        <f t="array" ref="AE7">_xlfn.LET(_xlpm.result,INDEX(ASSET!U:U, MATCH(TRIM($C7), TRIM(ASSET!$A:$A), 0)),IF(ISNUMBER(SEARCH("-", _xlpm.result)), 0, _xlpm.result))</f>
        <v>3423700</v>
      </c>
      <c r="AF7" s="66">
        <f>group_data_final[[#This Row],[ค่าบำรุงจุดกางเต็นท์]]/300000</f>
        <v>0</v>
      </c>
      <c r="AG7" s="1" cm="1">
        <f t="array" ref="AG7">_xlfn.LET(_xlpm.result,INDEX(ราคาค่าบำรุง!D:D, MATCH(TRIM($C7), TRIM(ราคาค่าบำรุง!$A:$A), 0)),IF(ISNUMBER(SEARCH("-", _xlpm.result)), 0, _xlpm.result))</f>
        <v>0</v>
      </c>
      <c r="AH7" s="66">
        <f>group_data_final[[#This Row],[ค่าบำรุงจุดพักรถ]]/300000</f>
        <v>0</v>
      </c>
      <c r="AI7" s="1" cm="1">
        <f t="array" ref="AI7">_xlfn.LET(_xlpm.result,INDEX(ราคาค่าบำรุง!F:F, MATCH(TRIM($C7), TRIM(ราคาค่าบำรุง!$A:$A), 0)),IF(ISNUMBER(SEARCH("-", _xlpm.result)), 0, _xlpm.result))</f>
        <v>0</v>
      </c>
      <c r="AJ7" s="66">
        <f>group_data_final[[#This Row],[ค่าบำรุงภูมิสถาปัตย์]]/300000</f>
        <v>0</v>
      </c>
      <c r="AK7" s="1" cm="1">
        <f t="array" ref="AK7">_xlfn.LET(_xlpm.result,INDEX(ราคาค่าบำรุง!H:H, MATCH(TRIM($C7), TRIM(ราคาค่าบำรุง!$A:$A), 0)),IF(ISNUMBER(SEARCH("-", _xlpm.result)), 0, _xlpm.result))</f>
        <v>0</v>
      </c>
      <c r="AL7">
        <f t="shared" si="0"/>
        <v>2</v>
      </c>
      <c r="AM7">
        <f>_xlfn.XLOOKUP(group_data_final[[#This Row],[depot_code]],C:C,แผน68!D:D)</f>
        <v>35219242</v>
      </c>
      <c r="AN7">
        <v>2927</v>
      </c>
    </row>
    <row r="8" spans="1:40" s="32" customFormat="1" ht="24">
      <c r="A8" s="32" t="s">
        <v>37</v>
      </c>
      <c r="B8" s="40" t="s">
        <v>45</v>
      </c>
      <c r="C8" s="41">
        <v>319</v>
      </c>
      <c r="D8" cm="1">
        <f t="array" ref="D8">_xlfn.LET(_xlpm.result,INDEX(ระยะทาง!C:C, MATCH(TRIM(C8), TRIM(ระยะทาง!$A:$A), 0)),IF(ISNUMBER(SEARCH("-", _xlpm.result)), 0, _xlpm.result))</f>
        <v>512.75699999999995</v>
      </c>
      <c r="E8" cm="1">
        <f t="array" ref="E8">_xlfn.LET(_xlpm.result,INDEX(ระยะทาง!D:D, MATCH(TRIM($C8), TRIM(ระยะทาง!$A:$A), 0)),IF(ISNUMBER(SEARCH("-", _xlpm.result)), 0, _xlpm.result))</f>
        <v>1249744605</v>
      </c>
      <c r="F8">
        <v>436037927</v>
      </c>
      <c r="G8" s="32">
        <v>2.4987777777777778</v>
      </c>
      <c r="H8" s="42">
        <v>512.75699999999995</v>
      </c>
      <c r="I8" s="32">
        <v>1</v>
      </c>
      <c r="J8" s="32">
        <v>8</v>
      </c>
      <c r="K8" s="32">
        <v>4.4444444444444446</v>
      </c>
      <c r="L8" s="32">
        <v>3.714</v>
      </c>
      <c r="M8" s="32">
        <v>5</v>
      </c>
      <c r="N8" s="32">
        <v>0</v>
      </c>
      <c r="O8" s="32">
        <v>2</v>
      </c>
      <c r="P8" s="32">
        <v>10</v>
      </c>
      <c r="Q8" s="32">
        <v>5.1428571428571432</v>
      </c>
      <c r="R8" s="32">
        <v>3.4928571428571429</v>
      </c>
      <c r="S8" s="32">
        <v>5.0372000000000003</v>
      </c>
      <c r="T8" s="32">
        <v>0</v>
      </c>
      <c r="U8" s="32">
        <v>0</v>
      </c>
      <c r="V8" s="32">
        <v>31795.915000000001</v>
      </c>
      <c r="W8" s="32">
        <v>14974</v>
      </c>
      <c r="X8" s="32">
        <v>46223.153999999995</v>
      </c>
      <c r="Y8" s="32">
        <v>32681</v>
      </c>
      <c r="Z8" s="32">
        <v>18.305698505474034</v>
      </c>
      <c r="AA8" s="32">
        <v>60.633393065945917</v>
      </c>
      <c r="AB8" s="32">
        <v>-3.5941714635765204E-2</v>
      </c>
      <c r="AC8" s="32">
        <v>14.665242673576072</v>
      </c>
      <c r="AD8">
        <f>D8*'ราคาต้นทุน (Asset)'!$E$1</f>
        <v>30765419.999999996</v>
      </c>
      <c r="AE8" s="1" cm="1">
        <f t="array" ref="AE8">_xlfn.LET(_xlpm.result,INDEX(ASSET!U:U, MATCH(TRIM($C8), TRIM(ASSET!$A:$A), 0)),IF(ISNUMBER(SEARCH("-", _xlpm.result)), 0, _xlpm.result))</f>
        <v>2094200</v>
      </c>
      <c r="AF8" s="66">
        <f>group_data_final[[#This Row],[ค่าบำรุงจุดกางเต็นท์]]/300000</f>
        <v>0</v>
      </c>
      <c r="AG8" s="1" cm="1">
        <f t="array" ref="AG8">_xlfn.LET(_xlpm.result,INDEX(ราคาค่าบำรุง!D:D, MATCH(TRIM($C8), TRIM(ราคาค่าบำรุง!$A:$A), 0)),IF(ISNUMBER(SEARCH("-", _xlpm.result)), 0, _xlpm.result))</f>
        <v>0</v>
      </c>
      <c r="AH8" s="66">
        <f>group_data_final[[#This Row],[ค่าบำรุงจุดพักรถ]]/300000</f>
        <v>1</v>
      </c>
      <c r="AI8" s="1" cm="1">
        <f t="array" ref="AI8">_xlfn.LET(_xlpm.result,INDEX(ราคาค่าบำรุง!F:F, MATCH(TRIM($C8), TRIM(ราคาค่าบำรุง!$A:$A), 0)),IF(ISNUMBER(SEARCH("-", _xlpm.result)), 0, _xlpm.result))</f>
        <v>300000</v>
      </c>
      <c r="AJ8" s="66">
        <f>group_data_final[[#This Row],[ค่าบำรุงภูมิสถาปัตย์]]/300000</f>
        <v>0</v>
      </c>
      <c r="AK8" s="1" cm="1">
        <f t="array" ref="AK8">_xlfn.LET(_xlpm.result,INDEX(ราคาค่าบำรุง!H:H, MATCH(TRIM($C8), TRIM(ราคาค่าบำรุง!$A:$A), 0)),IF(ISNUMBER(SEARCH("-", _xlpm.result)), 0, _xlpm.result))</f>
        <v>0</v>
      </c>
      <c r="AL8" s="32">
        <f t="shared" si="0"/>
        <v>4</v>
      </c>
      <c r="AM8">
        <f>_xlfn.XLOOKUP(group_data_final[[#This Row],[depot_code]],C:C,แผน68!D:D)</f>
        <v>15992685.75</v>
      </c>
      <c r="AN8">
        <v>5798.7</v>
      </c>
    </row>
    <row r="9" spans="1:40">
      <c r="A9" t="s">
        <v>41</v>
      </c>
      <c r="B9" t="s">
        <v>46</v>
      </c>
      <c r="C9" s="39">
        <v>321</v>
      </c>
      <c r="D9" cm="1">
        <f t="array" ref="D9">_xlfn.LET(_xlpm.result,INDEX(ระยะทาง!C:C, MATCH(TRIM(C9), TRIM(ระยะทาง!$A:$A), 0)),IF(ISNUMBER(SEARCH("-", _xlpm.result)), 0, _xlpm.result))</f>
        <v>824.601</v>
      </c>
      <c r="E9" cm="1">
        <f t="array" ref="E9">_xlfn.LET(_xlpm.result,INDEX(ระยะทาง!D:D, MATCH(TRIM($C9), TRIM(ระยะทาง!$A:$A), 0)),IF(ISNUMBER(SEARCH("-", _xlpm.result)), 0, _xlpm.result))</f>
        <v>456253646</v>
      </c>
      <c r="F9">
        <v>395057101</v>
      </c>
      <c r="G9">
        <v>2.1472857142857142</v>
      </c>
      <c r="H9">
        <v>522.04099999999994</v>
      </c>
      <c r="I9">
        <v>2</v>
      </c>
      <c r="J9">
        <v>6</v>
      </c>
      <c r="K9">
        <v>3.2857142857142856</v>
      </c>
      <c r="L9">
        <v>3.5</v>
      </c>
      <c r="M9">
        <v>5</v>
      </c>
      <c r="N9">
        <v>11.620000000000001</v>
      </c>
      <c r="O9">
        <v>2</v>
      </c>
      <c r="P9">
        <v>6</v>
      </c>
      <c r="Q9">
        <v>3.8</v>
      </c>
      <c r="R9">
        <v>3.5</v>
      </c>
      <c r="S9">
        <v>5</v>
      </c>
      <c r="T9">
        <v>0</v>
      </c>
      <c r="U9">
        <v>0</v>
      </c>
      <c r="V9">
        <v>281391.28999999998</v>
      </c>
      <c r="W9">
        <v>43702.560000000005</v>
      </c>
      <c r="X9">
        <v>141960.00870000001</v>
      </c>
      <c r="Y9">
        <v>196273.20300000001</v>
      </c>
      <c r="Z9">
        <v>21.336416296836184</v>
      </c>
      <c r="AA9">
        <v>211.89181969718067</v>
      </c>
      <c r="AB9">
        <v>9.8783852312713541E-2</v>
      </c>
      <c r="AC9">
        <v>22.083401539479954</v>
      </c>
      <c r="AD9">
        <f>D9*'ราคาต้นทุน (Asset)'!$E$1</f>
        <v>49476060</v>
      </c>
      <c r="AE9" s="1" cm="1">
        <f t="array" ref="AE9">_xlfn.LET(_xlpm.result,INDEX(ASSET!U:U, MATCH(TRIM($C9), TRIM(ASSET!$A:$A), 0)),IF(ISNUMBER(SEARCH("-", _xlpm.result)), 0, _xlpm.result))</f>
        <v>4386300</v>
      </c>
      <c r="AF9" s="66">
        <f>group_data_final[[#This Row],[ค่าบำรุงจุดกางเต็นท์]]/300000</f>
        <v>1</v>
      </c>
      <c r="AG9" s="1" cm="1">
        <f t="array" ref="AG9">_xlfn.LET(_xlpm.result,INDEX(ราคาค่าบำรุง!D:D, MATCH(TRIM($C9), TRIM(ราคาค่าบำรุง!$A:$A), 0)),IF(ISNUMBER(SEARCH("-", _xlpm.result)), 0, _xlpm.result))</f>
        <v>300000</v>
      </c>
      <c r="AH9" s="66">
        <f>group_data_final[[#This Row],[ค่าบำรุงจุดพักรถ]]/300000</f>
        <v>3</v>
      </c>
      <c r="AI9" s="1" cm="1">
        <f t="array" ref="AI9">_xlfn.LET(_xlpm.result,INDEX(ราคาค่าบำรุง!F:F, MATCH(TRIM($C9), TRIM(ราคาค่าบำรุง!$A:$A), 0)),IF(ISNUMBER(SEARCH("-", _xlpm.result)), 0, _xlpm.result))</f>
        <v>900000</v>
      </c>
      <c r="AJ9" s="66">
        <f>group_data_final[[#This Row],[ค่าบำรุงภูมิสถาปัตย์]]/300000</f>
        <v>0</v>
      </c>
      <c r="AK9" s="1" cm="1">
        <f t="array" ref="AK9">_xlfn.LET(_xlpm.result,INDEX(ราคาค่าบำรุง!H:H, MATCH(TRIM($C9), TRIM(ราคาค่าบำรุง!$A:$A), 0)),IF(ISNUMBER(SEARCH("-", _xlpm.result)), 0, _xlpm.result))</f>
        <v>0</v>
      </c>
      <c r="AL9">
        <f t="shared" si="0"/>
        <v>4</v>
      </c>
      <c r="AM9">
        <f>_xlfn.XLOOKUP(group_data_final[[#This Row],[depot_code]],C:C,แผน68!D:D)</f>
        <v>20146537</v>
      </c>
      <c r="AN9">
        <v>16169.3</v>
      </c>
    </row>
    <row r="10" spans="1:40">
      <c r="A10" t="s">
        <v>47</v>
      </c>
      <c r="B10" t="s">
        <v>48</v>
      </c>
      <c r="C10" s="39">
        <v>322</v>
      </c>
      <c r="D10" cm="1">
        <f t="array" ref="D10">_xlfn.LET(_xlpm.result,INDEX(ระยะทาง!C:C, MATCH(TRIM(C10), TRIM(ระยะทาง!$A:$A), 0)),IF(ISNUMBER(SEARCH("-", _xlpm.result)), 0, _xlpm.result))</f>
        <v>781.68499999999995</v>
      </c>
      <c r="E10" cm="1">
        <f t="array" ref="E10">_xlfn.LET(_xlpm.result,INDEX(ระยะทาง!D:D, MATCH(TRIM($C10), TRIM(ระยะทาง!$A:$A), 0)),IF(ISNUMBER(SEARCH("-", _xlpm.result)), 0, _xlpm.result))</f>
        <v>852306494</v>
      </c>
      <c r="F10">
        <v>292790676</v>
      </c>
      <c r="G10">
        <v>2.2588750000000002</v>
      </c>
      <c r="H10">
        <v>422.06900000000002</v>
      </c>
      <c r="I10">
        <v>2</v>
      </c>
      <c r="J10">
        <v>6</v>
      </c>
      <c r="K10">
        <v>3.25</v>
      </c>
      <c r="L10">
        <v>3.5</v>
      </c>
      <c r="M10">
        <v>5</v>
      </c>
      <c r="N10">
        <v>56.118000000000002</v>
      </c>
      <c r="O10">
        <v>4</v>
      </c>
      <c r="P10">
        <v>6</v>
      </c>
      <c r="Q10">
        <v>4.3636363636363633</v>
      </c>
      <c r="R10">
        <v>3.5</v>
      </c>
      <c r="S10">
        <v>4.7272727272727275</v>
      </c>
      <c r="T10">
        <v>157.4676</v>
      </c>
      <c r="U10">
        <v>0</v>
      </c>
      <c r="V10">
        <v>330600.03000000003</v>
      </c>
      <c r="W10">
        <v>37525.040000000001</v>
      </c>
      <c r="X10">
        <v>187080.30599999989</v>
      </c>
      <c r="Y10">
        <v>175107.56</v>
      </c>
      <c r="Z10">
        <v>34.601979499917881</v>
      </c>
      <c r="AA10">
        <v>276.69159836038313</v>
      </c>
      <c r="AB10">
        <v>4.0175278161666647E-2</v>
      </c>
      <c r="AC10">
        <v>29.419706200871001</v>
      </c>
      <c r="AD10">
        <f>D10*'ราคาต้นทุน (Asset)'!$E$1</f>
        <v>46901100</v>
      </c>
      <c r="AE10" s="1" cm="1">
        <f t="array" ref="AE10">_xlfn.LET(_xlpm.result,INDEX(ASSET!U:U, MATCH(TRIM($C10), TRIM(ASSET!$A:$A), 0)),IF(ISNUMBER(SEARCH("-", _xlpm.result)), 0, _xlpm.result))</f>
        <v>4125700</v>
      </c>
      <c r="AF10" s="66">
        <f>group_data_final[[#This Row],[ค่าบำรุงจุดกางเต็นท์]]/300000</f>
        <v>1</v>
      </c>
      <c r="AG10" s="1" cm="1">
        <f t="array" ref="AG10">_xlfn.LET(_xlpm.result,INDEX(ราคาค่าบำรุง!D:D, MATCH(TRIM($C10), TRIM(ราคาค่าบำรุง!$A:$A), 0)),IF(ISNUMBER(SEARCH("-", _xlpm.result)), 0, _xlpm.result))</f>
        <v>300000</v>
      </c>
      <c r="AH10" s="66">
        <f>group_data_final[[#This Row],[ค่าบำรุงจุดพักรถ]]/300000</f>
        <v>3</v>
      </c>
      <c r="AI10" s="1" cm="1">
        <f t="array" ref="AI10">_xlfn.LET(_xlpm.result,INDEX(ราคาค่าบำรุง!F:F, MATCH(TRIM($C10), TRIM(ราคาค่าบำรุง!$A:$A), 0)),IF(ISNUMBER(SEARCH("-", _xlpm.result)), 0, _xlpm.result))</f>
        <v>900000</v>
      </c>
      <c r="AJ10" s="66">
        <f>group_data_final[[#This Row],[ค่าบำรุงภูมิสถาปัตย์]]/300000</f>
        <v>0</v>
      </c>
      <c r="AK10" s="1" cm="1">
        <f t="array" ref="AK10">_xlfn.LET(_xlpm.result,INDEX(ราคาค่าบำรุง!H:H, MATCH(TRIM($C10), TRIM(ราคาค่าบำรุง!$A:$A), 0)),IF(ISNUMBER(SEARCH("-", _xlpm.result)), 0, _xlpm.result))</f>
        <v>0</v>
      </c>
      <c r="AL10">
        <f t="shared" si="0"/>
        <v>2</v>
      </c>
      <c r="AM10">
        <f>_xlfn.XLOOKUP(group_data_final[[#This Row],[depot_code]],C:C,แผน68!D:D)</f>
        <v>13871166.91</v>
      </c>
      <c r="AN10">
        <v>7842.6</v>
      </c>
    </row>
    <row r="11" spans="1:40">
      <c r="A11" t="s">
        <v>47</v>
      </c>
      <c r="B11" t="s">
        <v>49</v>
      </c>
      <c r="C11" s="39">
        <v>323</v>
      </c>
      <c r="D11" cm="1">
        <f t="array" ref="D11">_xlfn.LET(_xlpm.result,INDEX(ระยะทาง!C:C, MATCH(TRIM(C11), TRIM(ระยะทาง!$A:$A), 0)),IF(ISNUMBER(SEARCH("-", _xlpm.result)), 0, _xlpm.result))</f>
        <v>752.71199999999999</v>
      </c>
      <c r="E11" cm="1">
        <f t="array" ref="E11">_xlfn.LET(_xlpm.result,INDEX(ระยะทาง!D:D, MATCH(TRIM($C11), TRIM(ระยะทาง!$A:$A), 0)),IF(ISNUMBER(SEARCH("-", _xlpm.result)), 0, _xlpm.result))</f>
        <v>3359867039</v>
      </c>
      <c r="F11">
        <v>164262761</v>
      </c>
      <c r="G11">
        <v>2.3249</v>
      </c>
      <c r="H11">
        <v>377.01600000000002</v>
      </c>
      <c r="I11">
        <v>2</v>
      </c>
      <c r="J11">
        <v>8</v>
      </c>
      <c r="K11">
        <v>3.8</v>
      </c>
      <c r="L11">
        <v>3.5</v>
      </c>
      <c r="M11">
        <v>5</v>
      </c>
      <c r="N11">
        <v>6.8030000000000008</v>
      </c>
      <c r="O11">
        <v>6</v>
      </c>
      <c r="P11">
        <v>8</v>
      </c>
      <c r="Q11">
        <v>7.5</v>
      </c>
      <c r="T11">
        <v>0</v>
      </c>
      <c r="U11">
        <v>0</v>
      </c>
      <c r="V11">
        <v>117197.82</v>
      </c>
      <c r="W11">
        <v>11469.8</v>
      </c>
      <c r="X11">
        <v>154243.36000000002</v>
      </c>
      <c r="Y11">
        <v>128960</v>
      </c>
      <c r="Z11">
        <v>38.839193596870686</v>
      </c>
      <c r="AA11">
        <v>283.53395127428246</v>
      </c>
      <c r="AB11">
        <v>1.5192976744253659E-2</v>
      </c>
      <c r="AC11">
        <v>32.891799195593705</v>
      </c>
      <c r="AD11">
        <f>D11*'ราคาต้นทุน (Asset)'!$E$1</f>
        <v>45162720</v>
      </c>
      <c r="AE11" s="1" cm="1">
        <f t="array" ref="AE11">_xlfn.LET(_xlpm.result,INDEX(ASSET!U:U, MATCH(TRIM($C11), TRIM(ASSET!$A:$A), 0)),IF(ISNUMBER(SEARCH("-", _xlpm.result)), 0, _xlpm.result))</f>
        <v>3235000</v>
      </c>
      <c r="AF11" s="66">
        <f>group_data_final[[#This Row],[ค่าบำรุงจุดกางเต็นท์]]/300000</f>
        <v>0</v>
      </c>
      <c r="AG11" s="1" cm="1">
        <f t="array" ref="AG11">_xlfn.LET(_xlpm.result,INDEX(ราคาค่าบำรุง!D:D, MATCH(TRIM($C11), TRIM(ราคาค่าบำรุง!$A:$A), 0)),IF(ISNUMBER(SEARCH("-", _xlpm.result)), 0, _xlpm.result))</f>
        <v>0</v>
      </c>
      <c r="AH11" s="66">
        <f>group_data_final[[#This Row],[ค่าบำรุงจุดพักรถ]]/300000</f>
        <v>0</v>
      </c>
      <c r="AI11" s="1" cm="1">
        <f t="array" ref="AI11">_xlfn.LET(_xlpm.result,INDEX(ราคาค่าบำรุง!F:F, MATCH(TRIM($C11), TRIM(ราคาค่าบำรุง!$A:$A), 0)),IF(ISNUMBER(SEARCH("-", _xlpm.result)), 0, _xlpm.result))</f>
        <v>0</v>
      </c>
      <c r="AJ11" s="66">
        <f>group_data_final[[#This Row],[ค่าบำรุงภูมิสถาปัตย์]]/300000</f>
        <v>5</v>
      </c>
      <c r="AK11" s="1" cm="1">
        <f t="array" ref="AK11">_xlfn.LET(_xlpm.result,INDEX(ราคาค่าบำรุง!H:H, MATCH(TRIM($C11), TRIM(ราคาค่าบำรุง!$A:$A), 0)),IF(ISNUMBER(SEARCH("-", _xlpm.result)), 0, _xlpm.result))</f>
        <v>1500000</v>
      </c>
      <c r="AL11">
        <f t="shared" si="0"/>
        <v>2</v>
      </c>
      <c r="AM11">
        <f>_xlfn.XLOOKUP(group_data_final[[#This Row],[depot_code]],C:C,แผน68!D:D)</f>
        <v>9306767.8200000003</v>
      </c>
      <c r="AN11">
        <v>4899.5</v>
      </c>
    </row>
    <row r="12" spans="1:40">
      <c r="A12" t="s">
        <v>47</v>
      </c>
      <c r="B12" t="s">
        <v>50</v>
      </c>
      <c r="C12" s="39">
        <v>324</v>
      </c>
      <c r="D12" cm="1">
        <f t="array" ref="D12">_xlfn.LET(_xlpm.result,INDEX(ระยะทาง!C:C, MATCH(TRIM(C12), TRIM(ระยะทาง!$A:$A), 0)),IF(ISNUMBER(SEARCH("-", _xlpm.result)), 0, _xlpm.result))</f>
        <v>603.14099999999996</v>
      </c>
      <c r="E12" cm="1">
        <f t="array" ref="E12">_xlfn.LET(_xlpm.result,INDEX(ระยะทาง!D:D, MATCH(TRIM($C12), TRIM(ระยะทาง!$A:$A), 0)),IF(ISNUMBER(SEARCH("-", _xlpm.result)), 0, _xlpm.result))</f>
        <v>2002651336</v>
      </c>
      <c r="F12">
        <v>286100492</v>
      </c>
      <c r="G12">
        <v>2.1375000000000002</v>
      </c>
      <c r="H12">
        <v>183.82599999999999</v>
      </c>
      <c r="I12">
        <v>2</v>
      </c>
      <c r="J12">
        <v>6</v>
      </c>
      <c r="K12">
        <v>3.75</v>
      </c>
      <c r="L12">
        <v>3.5</v>
      </c>
      <c r="M12">
        <v>5.1420000000000003</v>
      </c>
      <c r="N12">
        <v>1.41</v>
      </c>
      <c r="O12">
        <v>6</v>
      </c>
      <c r="P12">
        <v>6</v>
      </c>
      <c r="Q12">
        <v>6</v>
      </c>
      <c r="R12">
        <v>3.5</v>
      </c>
      <c r="S12">
        <v>4</v>
      </c>
      <c r="T12">
        <v>84454.5</v>
      </c>
      <c r="U12">
        <v>0</v>
      </c>
      <c r="V12">
        <v>183292.9</v>
      </c>
      <c r="W12">
        <v>298.60000000000002</v>
      </c>
      <c r="X12">
        <v>77498.53</v>
      </c>
      <c r="Y12">
        <v>76414</v>
      </c>
      <c r="Z12">
        <v>18.807700148991724</v>
      </c>
      <c r="AA12">
        <v>236.84712948018282</v>
      </c>
      <c r="AB12">
        <v>6.0811905363652344E-2</v>
      </c>
      <c r="AC12">
        <v>40.625832288865439</v>
      </c>
      <c r="AD12">
        <f>D12*'ราคาต้นทุน (Asset)'!$E$1</f>
        <v>36188460</v>
      </c>
      <c r="AE12" s="1" cm="1">
        <f t="array" ref="AE12">_xlfn.LET(_xlpm.result,INDEX(ASSET!U:U, MATCH(TRIM($C12), TRIM(ASSET!$A:$A), 0)),IF(ISNUMBER(SEARCH("-", _xlpm.result)), 0, _xlpm.result))</f>
        <v>4392300</v>
      </c>
      <c r="AF12" s="66">
        <f>group_data_final[[#This Row],[ค่าบำรุงจุดกางเต็นท์]]/300000</f>
        <v>0</v>
      </c>
      <c r="AG12" s="1" cm="1">
        <f t="array" ref="AG12">_xlfn.LET(_xlpm.result,INDEX(ราคาค่าบำรุง!D:D, MATCH(TRIM($C12), TRIM(ราคาค่าบำรุง!$A:$A), 0)),IF(ISNUMBER(SEARCH("-", _xlpm.result)), 0, _xlpm.result))</f>
        <v>0</v>
      </c>
      <c r="AH12" s="66">
        <f>group_data_final[[#This Row],[ค่าบำรุงจุดพักรถ]]/300000</f>
        <v>9</v>
      </c>
      <c r="AI12" s="1" cm="1">
        <f t="array" ref="AI12">_xlfn.LET(_xlpm.result,INDEX(ราคาค่าบำรุง!F:F, MATCH(TRIM($C12), TRIM(ราคาค่าบำรุง!$A:$A), 0)),IF(ISNUMBER(SEARCH("-", _xlpm.result)), 0, _xlpm.result))</f>
        <v>2700000</v>
      </c>
      <c r="AJ12" s="66">
        <f>group_data_final[[#This Row],[ค่าบำรุงภูมิสถาปัตย์]]/300000</f>
        <v>2</v>
      </c>
      <c r="AK12" s="1" cm="1">
        <f t="array" ref="AK12">_xlfn.LET(_xlpm.result,INDEX(ราคาค่าบำรุง!H:H, MATCH(TRIM($C12), TRIM(ราคาค่าบำรุง!$A:$A), 0)),IF(ISNUMBER(SEARCH("-", _xlpm.result)), 0, _xlpm.result))</f>
        <v>600000</v>
      </c>
      <c r="AL12">
        <f t="shared" si="0"/>
        <v>2</v>
      </c>
      <c r="AM12">
        <f>_xlfn.XLOOKUP(group_data_final[[#This Row],[depot_code]],C:C,แผน68!D:D)</f>
        <v>17236877.359999999</v>
      </c>
      <c r="AN12">
        <v>3881.05</v>
      </c>
    </row>
    <row r="13" spans="1:40">
      <c r="A13" t="s">
        <v>41</v>
      </c>
      <c r="B13" t="s">
        <v>51</v>
      </c>
      <c r="C13" s="39">
        <v>325</v>
      </c>
      <c r="D13" cm="1">
        <f t="array" ref="D13">_xlfn.LET(_xlpm.result,INDEX(ระยะทาง!C:C, MATCH(TRIM(C13), TRIM(ระยะทาง!$A:$A), 0)),IF(ISNUMBER(SEARCH("-", _xlpm.result)), 0, _xlpm.result))</f>
        <v>837.59100000000001</v>
      </c>
      <c r="E13" cm="1">
        <f t="array" ref="E13">_xlfn.LET(_xlpm.result,INDEX(ระยะทาง!D:D, MATCH(TRIM($C13), TRIM(ระยะทาง!$A:$A), 0)),IF(ISNUMBER(SEARCH("-", _xlpm.result)), 0, _xlpm.result))</f>
        <v>1428980582</v>
      </c>
      <c r="F13">
        <v>340339410</v>
      </c>
      <c r="G13">
        <v>2.8879999999999999</v>
      </c>
      <c r="H13">
        <v>336.702</v>
      </c>
      <c r="I13">
        <v>4</v>
      </c>
      <c r="J13">
        <v>10</v>
      </c>
      <c r="K13">
        <v>4.75</v>
      </c>
      <c r="L13">
        <v>3.5</v>
      </c>
      <c r="M13">
        <v>5</v>
      </c>
      <c r="N13">
        <v>28.52</v>
      </c>
      <c r="O13">
        <v>4</v>
      </c>
      <c r="P13">
        <v>8</v>
      </c>
      <c r="Q13">
        <v>5.25</v>
      </c>
      <c r="R13">
        <v>3.9834000000000005</v>
      </c>
      <c r="S13">
        <v>5.0999999999999996</v>
      </c>
      <c r="T13">
        <v>0</v>
      </c>
      <c r="U13">
        <v>0</v>
      </c>
      <c r="V13">
        <v>104749.25600000001</v>
      </c>
      <c r="W13">
        <v>22826.199999999997</v>
      </c>
      <c r="X13">
        <v>161539.41399999999</v>
      </c>
      <c r="Y13">
        <v>67464.56</v>
      </c>
      <c r="Z13">
        <v>25.81661250850372</v>
      </c>
      <c r="AA13">
        <v>195.01158745729876</v>
      </c>
      <c r="AB13">
        <v>8.7856957675627578E-3</v>
      </c>
      <c r="AC13">
        <v>21.360563776116692</v>
      </c>
      <c r="AD13">
        <f>D13*'ราคาต้นทุน (Asset)'!$E$1</f>
        <v>50255460</v>
      </c>
      <c r="AE13" s="1" cm="1">
        <f t="array" ref="AE13">_xlfn.LET(_xlpm.result,INDEX(ASSET!U:U, MATCH(TRIM($C13), TRIM(ASSET!$A:$A), 0)),IF(ISNUMBER(SEARCH("-", _xlpm.result)), 0, _xlpm.result))</f>
        <v>3374200</v>
      </c>
      <c r="AF13" s="66">
        <f>group_data_final[[#This Row],[ค่าบำรุงจุดกางเต็นท์]]/300000</f>
        <v>2</v>
      </c>
      <c r="AG13" s="1" cm="1">
        <f t="array" ref="AG13">_xlfn.LET(_xlpm.result,INDEX(ราคาค่าบำรุง!D:D, MATCH(TRIM($C13), TRIM(ราคาค่าบำรุง!$A:$A), 0)),IF(ISNUMBER(SEARCH("-", _xlpm.result)), 0, _xlpm.result))</f>
        <v>600000</v>
      </c>
      <c r="AH13" s="66">
        <f>group_data_final[[#This Row],[ค่าบำรุงจุดพักรถ]]/300000</f>
        <v>0</v>
      </c>
      <c r="AI13" s="1" cm="1">
        <f t="array" ref="AI13">_xlfn.LET(_xlpm.result,INDEX(ราคาค่าบำรุง!F:F, MATCH(TRIM($C13), TRIM(ราคาค่าบำรุง!$A:$A), 0)),IF(ISNUMBER(SEARCH("-", _xlpm.result)), 0, _xlpm.result))</f>
        <v>0</v>
      </c>
      <c r="AJ13" s="66">
        <f>group_data_final[[#This Row],[ค่าบำรุงภูมิสถาปัตย์]]/300000</f>
        <v>0</v>
      </c>
      <c r="AK13" s="1" cm="1">
        <f t="array" ref="AK13">_xlfn.LET(_xlpm.result,INDEX(ราคาค่าบำรุง!H:H, MATCH(TRIM($C13), TRIM(ราคาค่าบำรุง!$A:$A), 0)),IF(ISNUMBER(SEARCH("-", _xlpm.result)), 0, _xlpm.result))</f>
        <v>0</v>
      </c>
      <c r="AL13">
        <f t="shared" si="0"/>
        <v>2</v>
      </c>
      <c r="AM13">
        <f>_xlfn.XLOOKUP(group_data_final[[#This Row],[depot_code]],C:C,แผน68!D:D)</f>
        <v>47805316</v>
      </c>
      <c r="AN13">
        <v>19521.95</v>
      </c>
    </row>
    <row r="14" spans="1:40">
      <c r="A14" t="s">
        <v>41</v>
      </c>
      <c r="B14" t="s">
        <v>52</v>
      </c>
      <c r="C14" s="39">
        <v>326</v>
      </c>
      <c r="D14" cm="1">
        <f t="array" ref="D14">_xlfn.LET(_xlpm.result,INDEX(ระยะทาง!C:C, MATCH(TRIM(C14), TRIM(ระยะทาง!$A:$A), 0)),IF(ISNUMBER(SEARCH("-", _xlpm.result)), 0, _xlpm.result))</f>
        <v>796.76300000000003</v>
      </c>
      <c r="E14" cm="1">
        <f t="array" ref="E14">_xlfn.LET(_xlpm.result,INDEX(ระยะทาง!D:D, MATCH(TRIM($C14), TRIM(ระยะทาง!$A:$A), 0)),IF(ISNUMBER(SEARCH("-", _xlpm.result)), 0, _xlpm.result))</f>
        <v>1652487745</v>
      </c>
      <c r="F14">
        <v>117360950</v>
      </c>
      <c r="G14">
        <v>2.0470000000000002</v>
      </c>
      <c r="H14">
        <v>336.505</v>
      </c>
      <c r="I14">
        <v>1</v>
      </c>
      <c r="J14">
        <v>8</v>
      </c>
      <c r="K14">
        <v>3.6666666666666665</v>
      </c>
      <c r="L14">
        <v>3.633</v>
      </c>
      <c r="M14">
        <v>5</v>
      </c>
      <c r="N14">
        <v>4.6370000000000005</v>
      </c>
      <c r="O14">
        <v>1</v>
      </c>
      <c r="P14">
        <v>4</v>
      </c>
      <c r="Q14">
        <v>2.75</v>
      </c>
      <c r="R14">
        <v>3.5</v>
      </c>
      <c r="T14">
        <v>0</v>
      </c>
      <c r="U14">
        <v>0</v>
      </c>
      <c r="V14">
        <v>201275.85</v>
      </c>
      <c r="W14">
        <v>20481.05</v>
      </c>
      <c r="X14">
        <v>67600.845000000001</v>
      </c>
      <c r="Y14">
        <v>130569.13</v>
      </c>
      <c r="Z14">
        <v>44.054684912185799</v>
      </c>
      <c r="AA14">
        <v>299.71773375977551</v>
      </c>
      <c r="AB14">
        <v>-1.0295899857212602E-2</v>
      </c>
      <c r="AC14">
        <v>29.336213312742959</v>
      </c>
      <c r="AD14">
        <f>D14*'ราคาต้นทุน (Asset)'!$E$1</f>
        <v>47805780</v>
      </c>
      <c r="AE14" s="1" cm="1">
        <f t="array" ref="AE14">_xlfn.LET(_xlpm.result,INDEX(ASSET!U:U, MATCH(TRIM($C14), TRIM(ASSET!$A:$A), 0)),IF(ISNUMBER(SEARCH("-", _xlpm.result)), 0, _xlpm.result))</f>
        <v>3582200</v>
      </c>
      <c r="AF14" s="66">
        <f>group_data_final[[#This Row],[ค่าบำรุงจุดกางเต็นท์]]/300000</f>
        <v>0</v>
      </c>
      <c r="AG14" s="1" cm="1">
        <f t="array" ref="AG14">_xlfn.LET(_xlpm.result,INDEX(ราคาค่าบำรุง!D:D, MATCH(TRIM($C14), TRIM(ราคาค่าบำรุง!$A:$A), 0)),IF(ISNUMBER(SEARCH("-", _xlpm.result)), 0, _xlpm.result))</f>
        <v>0</v>
      </c>
      <c r="AH14" s="66">
        <f>group_data_final[[#This Row],[ค่าบำรุงจุดพักรถ]]/300000</f>
        <v>1</v>
      </c>
      <c r="AI14" s="1" cm="1">
        <f t="array" ref="AI14">_xlfn.LET(_xlpm.result,INDEX(ราคาค่าบำรุง!F:F, MATCH(TRIM($C14), TRIM(ราคาค่าบำรุง!$A:$A), 0)),IF(ISNUMBER(SEARCH("-", _xlpm.result)), 0, _xlpm.result))</f>
        <v>300000</v>
      </c>
      <c r="AJ14" s="66">
        <f>group_data_final[[#This Row],[ค่าบำรุงภูมิสถาปัตย์]]/300000</f>
        <v>2</v>
      </c>
      <c r="AK14" s="1" cm="1">
        <f t="array" ref="AK14">_xlfn.LET(_xlpm.result,INDEX(ราคาค่าบำรุง!H:H, MATCH(TRIM($C14), TRIM(ราคาค่าบำรุง!$A:$A), 0)),IF(ISNUMBER(SEARCH("-", _xlpm.result)), 0, _xlpm.result))</f>
        <v>600000</v>
      </c>
      <c r="AL14">
        <f t="shared" si="0"/>
        <v>4</v>
      </c>
      <c r="AM14">
        <f>_xlfn.XLOOKUP(group_data_final[[#This Row],[depot_code]],C:C,แผน68!D:D)</f>
        <v>46419930</v>
      </c>
      <c r="AN14">
        <v>10490.415000000001</v>
      </c>
    </row>
    <row r="15" spans="1:40">
      <c r="A15" t="s">
        <v>47</v>
      </c>
      <c r="B15" t="s">
        <v>53</v>
      </c>
      <c r="C15" s="39">
        <v>327</v>
      </c>
      <c r="D15" cm="1">
        <f t="array" ref="D15">_xlfn.LET(_xlpm.result,INDEX(ระยะทาง!C:C, MATCH(TRIM(C15), TRIM(ระยะทาง!$A:$A), 0)),IF(ISNUMBER(SEARCH("-", _xlpm.result)), 0, _xlpm.result))</f>
        <v>631.11</v>
      </c>
      <c r="E15" cm="1">
        <f t="array" ref="E15">_xlfn.LET(_xlpm.result,INDEX(ระยะทาง!D:D, MATCH(TRIM($C15), TRIM(ระยะทาง!$A:$A), 0)),IF(ISNUMBER(SEARCH("-", _xlpm.result)), 0, _xlpm.result))</f>
        <v>1037823437</v>
      </c>
      <c r="F15">
        <v>147135214</v>
      </c>
      <c r="G15">
        <v>2.2617500000000001</v>
      </c>
      <c r="H15">
        <v>351.78899999999999</v>
      </c>
      <c r="I15">
        <v>2</v>
      </c>
      <c r="J15">
        <v>8</v>
      </c>
      <c r="K15">
        <v>3.625</v>
      </c>
      <c r="L15">
        <v>3.5</v>
      </c>
      <c r="M15">
        <v>5</v>
      </c>
      <c r="N15">
        <v>4.798</v>
      </c>
      <c r="O15">
        <v>4</v>
      </c>
      <c r="P15">
        <v>4</v>
      </c>
      <c r="Q15">
        <v>4</v>
      </c>
      <c r="R15">
        <v>3.5</v>
      </c>
      <c r="S15">
        <v>5</v>
      </c>
      <c r="T15">
        <v>0</v>
      </c>
      <c r="U15">
        <v>0</v>
      </c>
      <c r="V15">
        <v>97155.83</v>
      </c>
      <c r="W15">
        <v>199184.2</v>
      </c>
      <c r="X15">
        <v>179800.05100000001</v>
      </c>
      <c r="Y15">
        <v>120222</v>
      </c>
      <c r="Z15">
        <v>50.636840461925658</v>
      </c>
      <c r="AA15">
        <v>1131.5234273885719</v>
      </c>
      <c r="AB15">
        <v>9.6910476785620134E-2</v>
      </c>
      <c r="AC15">
        <v>36.117306123941617</v>
      </c>
      <c r="AD15">
        <f>D15*'ราคาต้นทุน (Asset)'!$E$1</f>
        <v>37866600</v>
      </c>
      <c r="AE15" s="1" cm="1">
        <f t="array" ref="AE15">_xlfn.LET(_xlpm.result,INDEX(ASSET!U:U, MATCH(TRIM($C15), TRIM(ASSET!$A:$A), 0)),IF(ISNUMBER(SEARCH("-", _xlpm.result)), 0, _xlpm.result))</f>
        <v>3191800</v>
      </c>
      <c r="AF15" s="66">
        <f>group_data_final[[#This Row],[ค่าบำรุงจุดกางเต็นท์]]/300000</f>
        <v>0</v>
      </c>
      <c r="AG15" s="1" cm="1">
        <f t="array" ref="AG15">_xlfn.LET(_xlpm.result,INDEX(ราคาค่าบำรุง!D:D, MATCH(TRIM($C15), TRIM(ราคาค่าบำรุง!$A:$A), 0)),IF(ISNUMBER(SEARCH("-", _xlpm.result)), 0, _xlpm.result))</f>
        <v>0</v>
      </c>
      <c r="AH15" s="66">
        <f>group_data_final[[#This Row],[ค่าบำรุงจุดพักรถ]]/300000</f>
        <v>1</v>
      </c>
      <c r="AI15" s="1" cm="1">
        <f t="array" ref="AI15">_xlfn.LET(_xlpm.result,INDEX(ราคาค่าบำรุง!F:F, MATCH(TRIM($C15), TRIM(ราคาค่าบำรุง!$A:$A), 0)),IF(ISNUMBER(SEARCH("-", _xlpm.result)), 0, _xlpm.result))</f>
        <v>300000</v>
      </c>
      <c r="AJ15" s="66">
        <f>group_data_final[[#This Row],[ค่าบำรุงภูมิสถาปัตย์]]/300000</f>
        <v>0</v>
      </c>
      <c r="AK15" s="1" cm="1">
        <f t="array" ref="AK15">_xlfn.LET(_xlpm.result,INDEX(ราคาค่าบำรุง!H:H, MATCH(TRIM($C15), TRIM(ราคาค่าบำรุง!$A:$A), 0)),IF(ISNUMBER(SEARCH("-", _xlpm.result)), 0, _xlpm.result))</f>
        <v>0</v>
      </c>
      <c r="AL15">
        <f t="shared" si="0"/>
        <v>4</v>
      </c>
      <c r="AM15">
        <f>_xlfn.XLOOKUP(group_data_final[[#This Row],[depot_code]],C:C,แผน68!D:D)</f>
        <v>22852169.210000001</v>
      </c>
      <c r="AN15">
        <v>9585.5</v>
      </c>
    </row>
    <row r="16" spans="1:40">
      <c r="A16" t="s">
        <v>41</v>
      </c>
      <c r="B16" t="s">
        <v>54</v>
      </c>
      <c r="C16" s="39">
        <v>328</v>
      </c>
      <c r="D16" cm="1">
        <f t="array" ref="D16">_xlfn.LET(_xlpm.result,INDEX(ระยะทาง!C:C, MATCH(TRIM(C16), TRIM(ระยะทาง!$A:$A), 0)),IF(ISNUMBER(SEARCH("-", _xlpm.result)), 0, _xlpm.result))</f>
        <v>604.32600000000002</v>
      </c>
      <c r="E16" cm="1">
        <f t="array" ref="E16">_xlfn.LET(_xlpm.result,INDEX(ระยะทาง!D:D, MATCH(TRIM($C16), TRIM(ระยะทาง!$A:$A), 0)),IF(ISNUMBER(SEARCH("-", _xlpm.result)), 0, _xlpm.result))</f>
        <v>2265182029</v>
      </c>
      <c r="F16">
        <v>206441188</v>
      </c>
      <c r="G16">
        <v>2.1868571428571428</v>
      </c>
      <c r="H16">
        <v>322.26099999999997</v>
      </c>
      <c r="I16">
        <v>2</v>
      </c>
      <c r="J16">
        <v>6</v>
      </c>
      <c r="K16">
        <v>3.5714285714285716</v>
      </c>
      <c r="L16">
        <v>3.532</v>
      </c>
      <c r="M16">
        <v>5</v>
      </c>
      <c r="N16">
        <v>0</v>
      </c>
      <c r="T16">
        <v>15320</v>
      </c>
      <c r="U16">
        <v>0</v>
      </c>
      <c r="V16">
        <v>188911.97600000002</v>
      </c>
      <c r="W16">
        <v>1665.3</v>
      </c>
      <c r="X16">
        <v>309545.46600000001</v>
      </c>
      <c r="Y16">
        <v>18438.661</v>
      </c>
      <c r="Z16">
        <v>26.385044205272017</v>
      </c>
      <c r="AA16">
        <v>98.32885086532275</v>
      </c>
      <c r="AB16">
        <v>-1.2839580119795552E-2</v>
      </c>
      <c r="AC16">
        <v>25.833823101972893</v>
      </c>
      <c r="AD16">
        <f>D16*'ราคาต้นทุน (Asset)'!$E$1</f>
        <v>36259560</v>
      </c>
      <c r="AE16" s="1" cm="1">
        <f t="array" ref="AE16">_xlfn.LET(_xlpm.result,INDEX(ASSET!U:U, MATCH(TRIM($C16), TRIM(ASSET!$A:$A), 0)),IF(ISNUMBER(SEARCH("-", _xlpm.result)), 0, _xlpm.result))</f>
        <v>2624800</v>
      </c>
      <c r="AF16" s="66">
        <f>group_data_final[[#This Row],[ค่าบำรุงจุดกางเต็นท์]]/300000</f>
        <v>0</v>
      </c>
      <c r="AG16" s="1" cm="1">
        <f t="array" ref="AG16">_xlfn.LET(_xlpm.result,INDEX(ราคาค่าบำรุง!D:D, MATCH(TRIM($C16), TRIM(ราคาค่าบำรุง!$A:$A), 0)),IF(ISNUMBER(SEARCH("-", _xlpm.result)), 0, _xlpm.result))</f>
        <v>0</v>
      </c>
      <c r="AH16" s="66">
        <f>group_data_final[[#This Row],[ค่าบำรุงจุดพักรถ]]/300000</f>
        <v>1</v>
      </c>
      <c r="AI16" s="1" cm="1">
        <f t="array" ref="AI16">_xlfn.LET(_xlpm.result,INDEX(ราคาค่าบำรุง!F:F, MATCH(TRIM($C16), TRIM(ราคาค่าบำรุง!$A:$A), 0)),IF(ISNUMBER(SEARCH("-", _xlpm.result)), 0, _xlpm.result))</f>
        <v>300000</v>
      </c>
      <c r="AJ16" s="66">
        <f>group_data_final[[#This Row],[ค่าบำรุงภูมิสถาปัตย์]]/300000</f>
        <v>1</v>
      </c>
      <c r="AK16" s="1" cm="1">
        <f t="array" ref="AK16">_xlfn.LET(_xlpm.result,INDEX(ราคาค่าบำรุง!H:H, MATCH(TRIM($C16), TRIM(ราคาค่าบำรุง!$A:$A), 0)),IF(ISNUMBER(SEARCH("-", _xlpm.result)), 0, _xlpm.result))</f>
        <v>300000</v>
      </c>
      <c r="AL16">
        <f t="shared" si="0"/>
        <v>2</v>
      </c>
      <c r="AM16">
        <f>_xlfn.XLOOKUP(group_data_final[[#This Row],[depot_code]],C:C,แผน68!D:D)</f>
        <v>26661755.600000001</v>
      </c>
      <c r="AN16">
        <v>8649</v>
      </c>
    </row>
    <row r="17" spans="1:40">
      <c r="A17" t="s">
        <v>41</v>
      </c>
      <c r="B17" t="s">
        <v>55</v>
      </c>
      <c r="C17" s="39">
        <v>329</v>
      </c>
      <c r="D17" cm="1">
        <f t="array" ref="D17">_xlfn.LET(_xlpm.result,INDEX(ระยะทาง!C:C, MATCH(TRIM(C17), TRIM(ระยะทาง!$A:$A), 0)),IF(ISNUMBER(SEARCH("-", _xlpm.result)), 0, _xlpm.result))</f>
        <v>673.54</v>
      </c>
      <c r="E17" cm="1">
        <f t="array" ref="E17">_xlfn.LET(_xlpm.result,INDEX(ระยะทาง!D:D, MATCH(TRIM($C17), TRIM(ระยะทาง!$A:$A), 0)),IF(ISNUMBER(SEARCH("-", _xlpm.result)), 0, _xlpm.result))</f>
        <v>2893846250</v>
      </c>
      <c r="F17">
        <v>352097013</v>
      </c>
      <c r="G17">
        <v>2.2530000000000001</v>
      </c>
      <c r="H17">
        <v>304.089</v>
      </c>
      <c r="I17">
        <v>2</v>
      </c>
      <c r="J17">
        <v>6</v>
      </c>
      <c r="K17">
        <v>3.5</v>
      </c>
      <c r="L17">
        <v>3.5</v>
      </c>
      <c r="M17">
        <v>5</v>
      </c>
      <c r="N17">
        <v>4.6280000000000001</v>
      </c>
      <c r="O17">
        <v>2</v>
      </c>
      <c r="P17">
        <v>6</v>
      </c>
      <c r="Q17">
        <v>4</v>
      </c>
      <c r="T17">
        <v>0</v>
      </c>
      <c r="U17">
        <v>0</v>
      </c>
      <c r="V17">
        <v>80023.69</v>
      </c>
      <c r="W17">
        <v>8284</v>
      </c>
      <c r="X17">
        <v>71181.69</v>
      </c>
      <c r="Y17">
        <v>84163</v>
      </c>
      <c r="Z17">
        <v>55.7504150568437</v>
      </c>
      <c r="AA17">
        <v>201.86347824983574</v>
      </c>
      <c r="AB17">
        <v>1.7444916700531068E-2</v>
      </c>
      <c r="AC17">
        <v>31.187231601980614</v>
      </c>
      <c r="AD17">
        <f>D17*'ราคาต้นทุน (Asset)'!$E$1</f>
        <v>40412400</v>
      </c>
      <c r="AE17" s="1" cm="1">
        <f t="array" ref="AE17">_xlfn.LET(_xlpm.result,INDEX(ASSET!U:U, MATCH(TRIM($C17), TRIM(ASSET!$A:$A), 0)),IF(ISNUMBER(SEARCH("-", _xlpm.result)), 0, _xlpm.result))</f>
        <v>2533400</v>
      </c>
      <c r="AF17" s="66">
        <f>group_data_final[[#This Row],[ค่าบำรุงจุดกางเต็นท์]]/300000</f>
        <v>0</v>
      </c>
      <c r="AG17" s="1" cm="1">
        <f t="array" ref="AG17">_xlfn.LET(_xlpm.result,INDEX(ราคาค่าบำรุง!D:D, MATCH(TRIM($C17), TRIM(ราคาค่าบำรุง!$A:$A), 0)),IF(ISNUMBER(SEARCH("-", _xlpm.result)), 0, _xlpm.result))</f>
        <v>0</v>
      </c>
      <c r="AH17" s="66">
        <f>group_data_final[[#This Row],[ค่าบำรุงจุดพักรถ]]/300000</f>
        <v>2</v>
      </c>
      <c r="AI17" s="1" cm="1">
        <f t="array" ref="AI17">_xlfn.LET(_xlpm.result,INDEX(ราคาค่าบำรุง!F:F, MATCH(TRIM($C17), TRIM(ราคาค่าบำรุง!$A:$A), 0)),IF(ISNUMBER(SEARCH("-", _xlpm.result)), 0, _xlpm.result))</f>
        <v>600000</v>
      </c>
      <c r="AJ17" s="66">
        <f>group_data_final[[#This Row],[ค่าบำรุงภูมิสถาปัตย์]]/300000</f>
        <v>0</v>
      </c>
      <c r="AK17" s="1" cm="1">
        <f t="array" ref="AK17">_xlfn.LET(_xlpm.result,INDEX(ราคาค่าบำรุง!H:H, MATCH(TRIM($C17), TRIM(ราคาค่าบำรุง!$A:$A), 0)),IF(ISNUMBER(SEARCH("-", _xlpm.result)), 0, _xlpm.result))</f>
        <v>0</v>
      </c>
      <c r="AL17">
        <f t="shared" si="0"/>
        <v>2</v>
      </c>
      <c r="AM17">
        <f>_xlfn.XLOOKUP(group_data_final[[#This Row],[depot_code]],C:C,แผน68!D:D)</f>
        <v>49094616.020000003</v>
      </c>
      <c r="AN17">
        <v>7855</v>
      </c>
    </row>
    <row r="18" spans="1:40">
      <c r="A18" t="s">
        <v>47</v>
      </c>
      <c r="B18" t="s">
        <v>56</v>
      </c>
      <c r="C18" s="39">
        <v>331</v>
      </c>
      <c r="D18" cm="1">
        <f t="array" ref="D18">_xlfn.LET(_xlpm.result,INDEX(ระยะทาง!C:C, MATCH(TRIM(C18), TRIM(ระยะทาง!$A:$A), 0)),IF(ISNUMBER(SEARCH("-", _xlpm.result)), 0, _xlpm.result))</f>
        <v>536.827</v>
      </c>
      <c r="E18" cm="1">
        <f t="array" ref="E18">_xlfn.LET(_xlpm.result,INDEX(ระยะทาง!D:D, MATCH(TRIM($C18), TRIM(ระยะทาง!$A:$A), 0)),IF(ISNUMBER(SEARCH("-", _xlpm.result)), 0, _xlpm.result))</f>
        <v>994758501</v>
      </c>
      <c r="F18">
        <v>224455317</v>
      </c>
      <c r="G18">
        <v>2.7422499999999999</v>
      </c>
      <c r="H18">
        <v>268.19</v>
      </c>
      <c r="I18">
        <v>1</v>
      </c>
      <c r="J18">
        <v>6</v>
      </c>
      <c r="K18">
        <v>3.5</v>
      </c>
      <c r="L18">
        <v>3.5</v>
      </c>
      <c r="M18">
        <v>5</v>
      </c>
      <c r="N18">
        <v>3.3440000000000003</v>
      </c>
      <c r="O18">
        <v>4</v>
      </c>
      <c r="P18">
        <v>4</v>
      </c>
      <c r="Q18">
        <v>4</v>
      </c>
      <c r="T18">
        <v>21936</v>
      </c>
      <c r="U18">
        <v>0</v>
      </c>
      <c r="V18">
        <v>42015.05</v>
      </c>
      <c r="W18">
        <v>7456.4</v>
      </c>
      <c r="X18">
        <v>119997.30000000008</v>
      </c>
      <c r="Y18">
        <v>96801</v>
      </c>
      <c r="Z18">
        <v>36.928204450859894</v>
      </c>
      <c r="AA18">
        <v>1161.649343098994</v>
      </c>
      <c r="AB18">
        <v>0.2009175015212922</v>
      </c>
      <c r="AC18">
        <v>51.655285230416538</v>
      </c>
      <c r="AD18">
        <f>D18*'ราคาต้นทุน (Asset)'!$E$1</f>
        <v>32209620</v>
      </c>
      <c r="AE18" s="1" cm="1">
        <f t="array" ref="AE18">_xlfn.LET(_xlpm.result,INDEX(ASSET!U:U, MATCH(TRIM($C18), TRIM(ASSET!$A:$A), 0)),IF(ISNUMBER(SEARCH("-", _xlpm.result)), 0, _xlpm.result))</f>
        <v>3081300</v>
      </c>
      <c r="AF18" s="66">
        <f>group_data_final[[#This Row],[ค่าบำรุงจุดกางเต็นท์]]/300000</f>
        <v>0</v>
      </c>
      <c r="AG18" s="1" cm="1">
        <f t="array" ref="AG18">_xlfn.LET(_xlpm.result,INDEX(ราคาค่าบำรุง!D:D, MATCH(TRIM($C18), TRIM(ราคาค่าบำรุง!$A:$A), 0)),IF(ISNUMBER(SEARCH("-", _xlpm.result)), 0, _xlpm.result))</f>
        <v>0</v>
      </c>
      <c r="AH18" s="66">
        <f>group_data_final[[#This Row],[ค่าบำรุงจุดพักรถ]]/300000</f>
        <v>1</v>
      </c>
      <c r="AI18" s="1" cm="1">
        <f t="array" ref="AI18">_xlfn.LET(_xlpm.result,INDEX(ราคาค่าบำรุง!F:F, MATCH(TRIM($C18), TRIM(ราคาค่าบำรุง!$A:$A), 0)),IF(ISNUMBER(SEARCH("-", _xlpm.result)), 0, _xlpm.result))</f>
        <v>300000</v>
      </c>
      <c r="AJ18" s="66">
        <f>group_data_final[[#This Row],[ค่าบำรุงภูมิสถาปัตย์]]/300000</f>
        <v>0</v>
      </c>
      <c r="AK18" s="1" cm="1">
        <f t="array" ref="AK18">_xlfn.LET(_xlpm.result,INDEX(ราคาค่าบำรุง!H:H, MATCH(TRIM($C18), TRIM(ราคาค่าบำรุง!$A:$A), 0)),IF(ISNUMBER(SEARCH("-", _xlpm.result)), 0, _xlpm.result))</f>
        <v>0</v>
      </c>
      <c r="AL18">
        <f t="shared" si="0"/>
        <v>4</v>
      </c>
      <c r="AM18">
        <f>_xlfn.XLOOKUP(group_data_final[[#This Row],[depot_code]],C:C,แผน68!D:D)</f>
        <v>35764703</v>
      </c>
      <c r="AN18">
        <v>7390</v>
      </c>
    </row>
    <row r="19" spans="1:40">
      <c r="A19" t="s">
        <v>57</v>
      </c>
      <c r="B19" t="s">
        <v>58</v>
      </c>
      <c r="C19" s="39">
        <v>332</v>
      </c>
      <c r="D19" cm="1">
        <f t="array" ref="D19">_xlfn.LET(_xlpm.result,INDEX(ระยะทาง!C:C, MATCH(TRIM(C19), TRIM(ระยะทาง!$A:$A), 0)),IF(ISNUMBER(SEARCH("-", _xlpm.result)), 0, _xlpm.result))</f>
        <v>661.423</v>
      </c>
      <c r="E19" cm="1">
        <f t="array" ref="E19">_xlfn.LET(_xlpm.result,INDEX(ระยะทาง!D:D, MATCH(TRIM($C19), TRIM(ระยะทาง!$A:$A), 0)),IF(ISNUMBER(SEARCH("-", _xlpm.result)), 0, _xlpm.result))</f>
        <v>2142184953</v>
      </c>
      <c r="F19">
        <v>758169463</v>
      </c>
      <c r="G19">
        <v>2.323285714285714</v>
      </c>
      <c r="H19">
        <v>310.77300000000002</v>
      </c>
      <c r="I19">
        <v>2</v>
      </c>
      <c r="J19">
        <v>6</v>
      </c>
      <c r="K19">
        <v>3.1428571428571428</v>
      </c>
      <c r="L19">
        <v>3.5</v>
      </c>
      <c r="M19">
        <v>6</v>
      </c>
      <c r="N19">
        <v>69.257999999999996</v>
      </c>
      <c r="O19">
        <v>2</v>
      </c>
      <c r="P19">
        <v>4</v>
      </c>
      <c r="Q19">
        <v>3.4285714285714284</v>
      </c>
      <c r="R19">
        <v>3.5</v>
      </c>
      <c r="S19">
        <v>5.166666666666667</v>
      </c>
      <c r="T19">
        <v>0</v>
      </c>
      <c r="U19">
        <v>0</v>
      </c>
      <c r="V19">
        <v>283505.86000000004</v>
      </c>
      <c r="W19">
        <v>2204.7999999999997</v>
      </c>
      <c r="X19">
        <v>165962.00899999999</v>
      </c>
      <c r="Y19">
        <v>227064</v>
      </c>
      <c r="Z19">
        <v>21.335997621437844</v>
      </c>
      <c r="AA19">
        <v>172.81534314170688</v>
      </c>
      <c r="AB19">
        <v>-8.5876159758903475E-2</v>
      </c>
      <c r="AC19">
        <v>17.832182512333365</v>
      </c>
      <c r="AD19">
        <f>D19*'ราคาต้นทุน (Asset)'!$E$1</f>
        <v>39685380</v>
      </c>
      <c r="AE19" s="1" cm="1">
        <f t="array" ref="AE19">_xlfn.LET(_xlpm.result,INDEX(ASSET!U:U, MATCH(TRIM($C19), TRIM(ASSET!$A:$A), 0)),IF(ISNUMBER(SEARCH("-", _xlpm.result)), 0, _xlpm.result))</f>
        <v>3167100</v>
      </c>
      <c r="AF19" s="66">
        <f>group_data_final[[#This Row],[ค่าบำรุงจุดกางเต็นท์]]/300000</f>
        <v>1</v>
      </c>
      <c r="AG19" s="1" cm="1">
        <f t="array" ref="AG19">_xlfn.LET(_xlpm.result,INDEX(ราคาค่าบำรุง!D:D, MATCH(TRIM($C19), TRIM(ราคาค่าบำรุง!$A:$A), 0)),IF(ISNUMBER(SEARCH("-", _xlpm.result)), 0, _xlpm.result))</f>
        <v>300000</v>
      </c>
      <c r="AH19" s="66">
        <f>group_data_final[[#This Row],[ค่าบำรุงจุดพักรถ]]/300000</f>
        <v>0</v>
      </c>
      <c r="AI19" s="1" cm="1">
        <f t="array" ref="AI19">_xlfn.LET(_xlpm.result,INDEX(ราคาค่าบำรุง!F:F, MATCH(TRIM($C19), TRIM(ราคาค่าบำรุง!$A:$A), 0)),IF(ISNUMBER(SEARCH("-", _xlpm.result)), 0, _xlpm.result))</f>
        <v>0</v>
      </c>
      <c r="AJ19" s="66">
        <f>group_data_final[[#This Row],[ค่าบำรุงภูมิสถาปัตย์]]/300000</f>
        <v>0</v>
      </c>
      <c r="AK19" s="1" cm="1">
        <f t="array" ref="AK19">_xlfn.LET(_xlpm.result,INDEX(ราคาค่าบำรุง!H:H, MATCH(TRIM($C19), TRIM(ราคาค่าบำรุง!$A:$A), 0)),IF(ISNUMBER(SEARCH("-", _xlpm.result)), 0, _xlpm.result))</f>
        <v>0</v>
      </c>
      <c r="AL19">
        <f t="shared" si="0"/>
        <v>2</v>
      </c>
      <c r="AM19">
        <f>_xlfn.XLOOKUP(group_data_final[[#This Row],[depot_code]],C:C,แผน68!D:D)</f>
        <v>17220342</v>
      </c>
      <c r="AN19">
        <v>8576</v>
      </c>
    </row>
    <row r="20" spans="1:40">
      <c r="A20" t="s">
        <v>57</v>
      </c>
      <c r="B20" t="s">
        <v>59</v>
      </c>
      <c r="C20" s="39">
        <v>333</v>
      </c>
      <c r="D20" cm="1">
        <f t="array" ref="D20">_xlfn.LET(_xlpm.result,INDEX(ระยะทาง!C:C, MATCH(TRIM(C20), TRIM(ระยะทาง!$A:$A), 0)),IF(ISNUMBER(SEARCH("-", _xlpm.result)), 0, _xlpm.result))</f>
        <v>721.52499999999998</v>
      </c>
      <c r="E20" cm="1">
        <f t="array" ref="E20">_xlfn.LET(_xlpm.result,INDEX(ระยะทาง!D:D, MATCH(TRIM($C20), TRIM(ระยะทาง!$A:$A), 0)),IF(ISNUMBER(SEARCH("-", _xlpm.result)), 0, _xlpm.result))</f>
        <v>1298448961</v>
      </c>
      <c r="F20">
        <v>509205403</v>
      </c>
      <c r="G20">
        <v>2.0094285714285713</v>
      </c>
      <c r="H20">
        <v>485.20600000000002</v>
      </c>
      <c r="I20">
        <v>2</v>
      </c>
      <c r="J20">
        <v>10</v>
      </c>
      <c r="K20">
        <v>4</v>
      </c>
      <c r="L20">
        <v>3.5</v>
      </c>
      <c r="M20">
        <v>5</v>
      </c>
      <c r="N20">
        <v>11.373999999999999</v>
      </c>
      <c r="O20">
        <v>4</v>
      </c>
      <c r="P20">
        <v>8</v>
      </c>
      <c r="Q20">
        <v>5</v>
      </c>
      <c r="R20">
        <v>3.5</v>
      </c>
      <c r="S20">
        <v>4.7333333333333334</v>
      </c>
      <c r="T20">
        <v>36547.730000000003</v>
      </c>
      <c r="U20">
        <v>19560.68</v>
      </c>
      <c r="V20">
        <v>188116.78</v>
      </c>
      <c r="W20">
        <v>4175.25</v>
      </c>
      <c r="X20">
        <v>240902.6</v>
      </c>
      <c r="Y20">
        <v>195405</v>
      </c>
      <c r="Z20">
        <v>27.810754841821037</v>
      </c>
      <c r="AA20">
        <v>165.39512911632204</v>
      </c>
      <c r="AB20">
        <v>-4.6238054522234243E-2</v>
      </c>
      <c r="AC20">
        <v>10.67095789872555</v>
      </c>
      <c r="AD20">
        <f>D20*'ราคาต้นทุน (Asset)'!$E$1</f>
        <v>43291500</v>
      </c>
      <c r="AE20" s="1" cm="1">
        <f t="array" ref="AE20">_xlfn.LET(_xlpm.result,INDEX(ASSET!U:U, MATCH(TRIM($C20), TRIM(ASSET!$A:$A), 0)),IF(ISNUMBER(SEARCH("-", _xlpm.result)), 0, _xlpm.result))</f>
        <v>3325700</v>
      </c>
      <c r="AF20" s="66">
        <f>group_data_final[[#This Row],[ค่าบำรุงจุดกางเต็นท์]]/300000</f>
        <v>1</v>
      </c>
      <c r="AG20" s="1" cm="1">
        <f t="array" ref="AG20">_xlfn.LET(_xlpm.result,INDEX(ราคาค่าบำรุง!D:D, MATCH(TRIM($C20), TRIM(ราคาค่าบำรุง!$A:$A), 0)),IF(ISNUMBER(SEARCH("-", _xlpm.result)), 0, _xlpm.result))</f>
        <v>300000</v>
      </c>
      <c r="AH20" s="66">
        <f>group_data_final[[#This Row],[ค่าบำรุงจุดพักรถ]]/300000</f>
        <v>2</v>
      </c>
      <c r="AI20" s="1" cm="1">
        <f t="array" ref="AI20">_xlfn.LET(_xlpm.result,INDEX(ราคาค่าบำรุง!F:F, MATCH(TRIM($C20), TRIM(ราคาค่าบำรุง!$A:$A), 0)),IF(ISNUMBER(SEARCH("-", _xlpm.result)), 0, _xlpm.result))</f>
        <v>600000</v>
      </c>
      <c r="AJ20" s="66">
        <f>group_data_final[[#This Row],[ค่าบำรุงภูมิสถาปัตย์]]/300000</f>
        <v>0</v>
      </c>
      <c r="AK20" s="1" cm="1">
        <f t="array" ref="AK20">_xlfn.LET(_xlpm.result,INDEX(ราคาค่าบำรุง!H:H, MATCH(TRIM($C20), TRIM(ราคาค่าบำรุง!$A:$A), 0)),IF(ISNUMBER(SEARCH("-", _xlpm.result)), 0, _xlpm.result))</f>
        <v>0</v>
      </c>
      <c r="AL20">
        <f t="shared" si="0"/>
        <v>0</v>
      </c>
      <c r="AM20">
        <f>_xlfn.XLOOKUP(group_data_final[[#This Row],[depot_code]],C:C,แผน68!D:D)</f>
        <v>43935646.859999999</v>
      </c>
      <c r="AN20">
        <v>6936.2</v>
      </c>
    </row>
    <row r="21" spans="1:40">
      <c r="A21" t="s">
        <v>57</v>
      </c>
      <c r="B21" t="s">
        <v>60</v>
      </c>
      <c r="C21" s="39">
        <v>335</v>
      </c>
      <c r="D21" cm="1">
        <f t="array" ref="D21">_xlfn.LET(_xlpm.result,INDEX(ระยะทาง!C:C, MATCH(TRIM(C21), TRIM(ระยะทาง!$A:$A), 0)),IF(ISNUMBER(SEARCH("-", _xlpm.result)), 0, _xlpm.result))</f>
        <v>631.80200000000002</v>
      </c>
      <c r="E21" cm="1">
        <f t="array" ref="E21">_xlfn.LET(_xlpm.result,INDEX(ระยะทาง!D:D, MATCH(TRIM($C21), TRIM(ระยะทาง!$A:$A), 0)),IF(ISNUMBER(SEARCH("-", _xlpm.result)), 0, _xlpm.result))</f>
        <v>2763952440</v>
      </c>
      <c r="F21">
        <v>460587578</v>
      </c>
      <c r="G21">
        <v>2.2090000000000001</v>
      </c>
      <c r="H21">
        <v>136.81299999999999</v>
      </c>
      <c r="I21">
        <v>2</v>
      </c>
      <c r="J21">
        <v>8</v>
      </c>
      <c r="K21">
        <v>3.6</v>
      </c>
      <c r="L21">
        <v>3.536</v>
      </c>
      <c r="M21">
        <v>5</v>
      </c>
      <c r="N21">
        <v>29.244999999999997</v>
      </c>
      <c r="O21">
        <v>2</v>
      </c>
      <c r="P21">
        <v>6</v>
      </c>
      <c r="Q21">
        <v>4.75</v>
      </c>
      <c r="R21">
        <v>3.4375</v>
      </c>
      <c r="S21">
        <v>5</v>
      </c>
      <c r="T21">
        <v>0</v>
      </c>
      <c r="U21">
        <v>0</v>
      </c>
      <c r="V21">
        <v>90565</v>
      </c>
      <c r="W21">
        <v>6216.25</v>
      </c>
      <c r="X21">
        <v>1167.6279999999999</v>
      </c>
      <c r="Y21">
        <v>32936</v>
      </c>
      <c r="Z21">
        <v>26.385854946221386</v>
      </c>
      <c r="AA21">
        <v>149.36671027149285</v>
      </c>
      <c r="AB21">
        <v>4.412398486902331E-2</v>
      </c>
      <c r="AC21">
        <v>10.703422545588626</v>
      </c>
      <c r="AD21">
        <f>D21*'ราคาต้นทุน (Asset)'!$E$1</f>
        <v>37908120</v>
      </c>
      <c r="AE21" s="1" cm="1">
        <f t="array" ref="AE21">_xlfn.LET(_xlpm.result,INDEX(ASSET!U:U, MATCH(TRIM($C21), TRIM(ASSET!$A:$A), 0)),IF(ISNUMBER(SEARCH("-", _xlpm.result)), 0, _xlpm.result))</f>
        <v>5526100</v>
      </c>
      <c r="AF21" s="66">
        <f>group_data_final[[#This Row],[ค่าบำรุงจุดกางเต็นท์]]/300000</f>
        <v>0</v>
      </c>
      <c r="AG21" s="1" cm="1">
        <f t="array" ref="AG21">_xlfn.LET(_xlpm.result,INDEX(ราคาค่าบำรุง!D:D, MATCH(TRIM($C21), TRIM(ราคาค่าบำรุง!$A:$A), 0)),IF(ISNUMBER(SEARCH("-", _xlpm.result)), 0, _xlpm.result))</f>
        <v>0</v>
      </c>
      <c r="AH21" s="66">
        <f>group_data_final[[#This Row],[ค่าบำรุงจุดพักรถ]]/300000</f>
        <v>2</v>
      </c>
      <c r="AI21" s="1" cm="1">
        <f t="array" ref="AI21">_xlfn.LET(_xlpm.result,INDEX(ราคาค่าบำรุง!F:F, MATCH(TRIM($C21), TRIM(ราคาค่าบำรุง!$A:$A), 0)),IF(ISNUMBER(SEARCH("-", _xlpm.result)), 0, _xlpm.result))</f>
        <v>600000</v>
      </c>
      <c r="AJ21" s="66">
        <f>group_data_final[[#This Row],[ค่าบำรุงภูมิสถาปัตย์]]/300000</f>
        <v>1</v>
      </c>
      <c r="AK21" s="1" cm="1">
        <f t="array" ref="AK21">_xlfn.LET(_xlpm.result,INDEX(ราคาค่าบำรุง!H:H, MATCH(TRIM($C21), TRIM(ราคาค่าบำรุง!$A:$A), 0)),IF(ISNUMBER(SEARCH("-", _xlpm.result)), 0, _xlpm.result))</f>
        <v>300000</v>
      </c>
      <c r="AL21">
        <f t="shared" si="0"/>
        <v>0</v>
      </c>
      <c r="AM21">
        <f>_xlfn.XLOOKUP(group_data_final[[#This Row],[depot_code]],C:C,แผน68!D:D)</f>
        <v>2925773</v>
      </c>
      <c r="AN21">
        <v>9850</v>
      </c>
    </row>
    <row r="22" spans="1:40">
      <c r="A22" t="s">
        <v>57</v>
      </c>
      <c r="B22" t="s">
        <v>61</v>
      </c>
      <c r="C22" s="39">
        <v>336</v>
      </c>
      <c r="D22" cm="1">
        <f t="array" ref="D22">_xlfn.LET(_xlpm.result,INDEX(ระยะทาง!C:C, MATCH(TRIM(C22), TRIM(ระยะทาง!$A:$A), 0)),IF(ISNUMBER(SEARCH("-", _xlpm.result)), 0, _xlpm.result))</f>
        <v>600.327</v>
      </c>
      <c r="E22" cm="1">
        <f t="array" ref="E22">_xlfn.LET(_xlpm.result,INDEX(ระยะทาง!D:D, MATCH(TRIM($C22), TRIM(ระยะทาง!$A:$A), 0)),IF(ISNUMBER(SEARCH("-", _xlpm.result)), 0, _xlpm.result))</f>
        <v>2439163877</v>
      </c>
      <c r="F22">
        <v>213101050</v>
      </c>
      <c r="G22">
        <v>3.4438750000000002</v>
      </c>
      <c r="H22">
        <v>167.708</v>
      </c>
      <c r="I22">
        <v>4</v>
      </c>
      <c r="J22">
        <v>8</v>
      </c>
      <c r="K22">
        <v>4.8</v>
      </c>
      <c r="L22">
        <v>3.5</v>
      </c>
      <c r="M22">
        <v>5</v>
      </c>
      <c r="N22">
        <v>209.74</v>
      </c>
      <c r="O22">
        <v>1</v>
      </c>
      <c r="P22">
        <v>10</v>
      </c>
      <c r="Q22">
        <v>5.375</v>
      </c>
      <c r="R22">
        <v>3.46875</v>
      </c>
      <c r="S22">
        <v>4.3040000000000003</v>
      </c>
      <c r="T22">
        <v>0</v>
      </c>
      <c r="U22">
        <v>0</v>
      </c>
      <c r="V22">
        <v>265054.06</v>
      </c>
      <c r="W22">
        <v>3940</v>
      </c>
      <c r="X22">
        <v>93482.07</v>
      </c>
      <c r="Y22">
        <v>9719.1880000000001</v>
      </c>
      <c r="Z22">
        <v>6.5962978001435184</v>
      </c>
      <c r="AA22">
        <v>2.171301836956399</v>
      </c>
      <c r="AB22">
        <v>-1.2259916392119105E-2</v>
      </c>
      <c r="AC22">
        <v>4.7394352658779795</v>
      </c>
      <c r="AD22">
        <f>D22*'ราคาต้นทุน (Asset)'!$E$1</f>
        <v>36019620</v>
      </c>
      <c r="AE22" s="1" cm="1">
        <f t="array" ref="AE22">_xlfn.LET(_xlpm.result,INDEX(ASSET!U:U, MATCH(TRIM($C22), TRIM(ASSET!$A:$A), 0)),IF(ISNUMBER(SEARCH("-", _xlpm.result)), 0, _xlpm.result))</f>
        <v>3809500</v>
      </c>
      <c r="AF22" s="66">
        <f>group_data_final[[#This Row],[ค่าบำรุงจุดกางเต็นท์]]/300000</f>
        <v>0</v>
      </c>
      <c r="AG22" s="1" cm="1">
        <f t="array" ref="AG22">_xlfn.LET(_xlpm.result,INDEX(ราคาค่าบำรุง!D:D, MATCH(TRIM($C22), TRIM(ราคาค่าบำรุง!$A:$A), 0)),IF(ISNUMBER(SEARCH("-", _xlpm.result)), 0, _xlpm.result))</f>
        <v>0</v>
      </c>
      <c r="AH22" s="66">
        <f>group_data_final[[#This Row],[ค่าบำรุงจุดพักรถ]]/300000</f>
        <v>3</v>
      </c>
      <c r="AI22" s="1" cm="1">
        <f t="array" ref="AI22">_xlfn.LET(_xlpm.result,INDEX(ราคาค่าบำรุง!F:F, MATCH(TRIM($C22), TRIM(ราคาค่าบำรุง!$A:$A), 0)),IF(ISNUMBER(SEARCH("-", _xlpm.result)), 0, _xlpm.result))</f>
        <v>900000</v>
      </c>
      <c r="AJ22" s="66">
        <f>group_data_final[[#This Row],[ค่าบำรุงภูมิสถาปัตย์]]/300000</f>
        <v>0</v>
      </c>
      <c r="AK22" s="1" cm="1">
        <f t="array" ref="AK22">_xlfn.LET(_xlpm.result,INDEX(ราคาค่าบำรุง!H:H, MATCH(TRIM($C22), TRIM(ราคาค่าบำรุง!$A:$A), 0)),IF(ISNUMBER(SEARCH("-", _xlpm.result)), 0, _xlpm.result))</f>
        <v>0</v>
      </c>
      <c r="AL22">
        <f t="shared" si="0"/>
        <v>0</v>
      </c>
      <c r="AM22">
        <f>_xlfn.XLOOKUP(group_data_final[[#This Row],[depot_code]],C:C,แผน68!D:D)</f>
        <v>14895309.58</v>
      </c>
      <c r="AN22">
        <v>9966.1</v>
      </c>
    </row>
    <row r="23" spans="1:40">
      <c r="A23" t="s">
        <v>57</v>
      </c>
      <c r="B23" t="s">
        <v>62</v>
      </c>
      <c r="C23" s="39">
        <v>337</v>
      </c>
      <c r="D23" cm="1">
        <f t="array" ref="D23">_xlfn.LET(_xlpm.result,INDEX(ระยะทาง!C:C, MATCH(TRIM(C23), TRIM(ระยะทาง!$A:$A), 0)),IF(ISNUMBER(SEARCH("-", _xlpm.result)), 0, _xlpm.result))</f>
        <v>527.11</v>
      </c>
      <c r="E23" cm="1">
        <f t="array" ref="E23">_xlfn.LET(_xlpm.result,INDEX(ระยะทาง!D:D, MATCH(TRIM($C23), TRIM(ระยะทาง!$A:$A), 0)),IF(ISNUMBER(SEARCH("-", _xlpm.result)), 0, _xlpm.result))</f>
        <v>2463770612</v>
      </c>
      <c r="F23">
        <v>327730651</v>
      </c>
      <c r="G23">
        <v>2.0636666666666668</v>
      </c>
      <c r="H23">
        <v>216.4</v>
      </c>
      <c r="I23">
        <v>1</v>
      </c>
      <c r="J23">
        <v>6</v>
      </c>
      <c r="K23">
        <v>3.6666666666666665</v>
      </c>
      <c r="L23">
        <v>3.5</v>
      </c>
      <c r="M23">
        <v>5</v>
      </c>
      <c r="N23">
        <v>3.089</v>
      </c>
      <c r="O23">
        <v>2</v>
      </c>
      <c r="P23">
        <v>6</v>
      </c>
      <c r="Q23">
        <v>4</v>
      </c>
      <c r="R23">
        <v>3.3333333333333335</v>
      </c>
      <c r="S23">
        <v>3.5</v>
      </c>
      <c r="T23">
        <v>0</v>
      </c>
      <c r="U23">
        <v>0</v>
      </c>
      <c r="V23">
        <v>25598.18</v>
      </c>
      <c r="W23">
        <v>3061</v>
      </c>
      <c r="X23">
        <v>82989.679999999964</v>
      </c>
      <c r="Y23">
        <v>1202</v>
      </c>
      <c r="Z23">
        <v>18.751490686084392</v>
      </c>
      <c r="AA23">
        <v>405.35032934464846</v>
      </c>
      <c r="AB23">
        <v>-7.0955345478399851E-2</v>
      </c>
      <c r="AC23">
        <v>9.324196467523338</v>
      </c>
      <c r="AD23">
        <f>D23*'ราคาต้นทุน (Asset)'!$E$1</f>
        <v>31626600</v>
      </c>
      <c r="AE23" s="1" cm="1">
        <f t="array" ref="AE23">_xlfn.LET(_xlpm.result,INDEX(ASSET!U:U, MATCH(TRIM($C23), TRIM(ASSET!$A:$A), 0)),IF(ISNUMBER(SEARCH("-", _xlpm.result)), 0, _xlpm.result))</f>
        <v>2678700</v>
      </c>
      <c r="AF23" s="66">
        <f>group_data_final[[#This Row],[ค่าบำรุงจุดกางเต็นท์]]/300000</f>
        <v>0</v>
      </c>
      <c r="AG23" s="1" cm="1">
        <f t="array" ref="AG23">_xlfn.LET(_xlpm.result,INDEX(ราคาค่าบำรุง!D:D, MATCH(TRIM($C23), TRIM(ราคาค่าบำรุง!$A:$A), 0)),IF(ISNUMBER(SEARCH("-", _xlpm.result)), 0, _xlpm.result))</f>
        <v>0</v>
      </c>
      <c r="AH23" s="66">
        <f>group_data_final[[#This Row],[ค่าบำรุงจุดพักรถ]]/300000</f>
        <v>1</v>
      </c>
      <c r="AI23" s="1" cm="1">
        <f t="array" ref="AI23">_xlfn.LET(_xlpm.result,INDEX(ราคาค่าบำรุง!F:F, MATCH(TRIM($C23), TRIM(ราคาค่าบำรุง!$A:$A), 0)),IF(ISNUMBER(SEARCH("-", _xlpm.result)), 0, _xlpm.result))</f>
        <v>300000</v>
      </c>
      <c r="AJ23" s="66">
        <f>group_data_final[[#This Row],[ค่าบำรุงภูมิสถาปัตย์]]/300000</f>
        <v>0</v>
      </c>
      <c r="AK23" s="1" cm="1">
        <f t="array" ref="AK23">_xlfn.LET(_xlpm.result,INDEX(ราคาค่าบำรุง!H:H, MATCH(TRIM($C23), TRIM(ราคาค่าบำรุง!$A:$A), 0)),IF(ISNUMBER(SEARCH("-", _xlpm.result)), 0, _xlpm.result))</f>
        <v>0</v>
      </c>
      <c r="AL23">
        <f t="shared" si="0"/>
        <v>0</v>
      </c>
      <c r="AM23">
        <f>_xlfn.XLOOKUP(group_data_final[[#This Row],[depot_code]],C:C,แผน68!D:D)</f>
        <v>18362201</v>
      </c>
      <c r="AN23">
        <v>11938.45</v>
      </c>
    </row>
    <row r="24" spans="1:40">
      <c r="A24" t="s">
        <v>57</v>
      </c>
      <c r="B24" t="s">
        <v>63</v>
      </c>
      <c r="C24" s="39">
        <v>338</v>
      </c>
      <c r="D24" cm="1">
        <f t="array" ref="D24">_xlfn.LET(_xlpm.result,INDEX(ระยะทาง!C:C, MATCH(TRIM(C24), TRIM(ระยะทาง!$A:$A), 0)),IF(ISNUMBER(SEARCH("-", _xlpm.result)), 0, _xlpm.result))</f>
        <v>711.86900000000003</v>
      </c>
      <c r="E24" cm="1">
        <f t="array" ref="E24">_xlfn.LET(_xlpm.result,INDEX(ระยะทาง!D:D, MATCH(TRIM($C24), TRIM(ระยะทาง!$A:$A), 0)),IF(ISNUMBER(SEARCH("-", _xlpm.result)), 0, _xlpm.result))</f>
        <v>1434933767</v>
      </c>
      <c r="F24">
        <v>373691851</v>
      </c>
      <c r="G24">
        <v>2.1635</v>
      </c>
      <c r="H24">
        <v>395.89599999999996</v>
      </c>
      <c r="I24">
        <v>2</v>
      </c>
      <c r="J24">
        <v>6</v>
      </c>
      <c r="K24">
        <v>3</v>
      </c>
      <c r="L24">
        <v>5.5</v>
      </c>
      <c r="M24">
        <v>5</v>
      </c>
      <c r="N24">
        <v>12.129</v>
      </c>
      <c r="O24">
        <v>2</v>
      </c>
      <c r="P24">
        <v>6</v>
      </c>
      <c r="Q24">
        <v>3.75</v>
      </c>
      <c r="R24">
        <v>4.5594999999999999</v>
      </c>
      <c r="S24">
        <v>4.8890000000000002</v>
      </c>
      <c r="T24">
        <v>0</v>
      </c>
      <c r="U24">
        <v>0</v>
      </c>
      <c r="V24">
        <v>22623.65</v>
      </c>
      <c r="W24">
        <v>18739.099999999999</v>
      </c>
      <c r="X24">
        <v>40715.390999999996</v>
      </c>
      <c r="Y24">
        <v>31114</v>
      </c>
      <c r="Z24">
        <v>60.201237126188531</v>
      </c>
      <c r="AA24">
        <v>337.69281779816959</v>
      </c>
      <c r="AB24">
        <v>-5.0340711305797224E-2</v>
      </c>
      <c r="AC24">
        <v>10.2218090035466</v>
      </c>
      <c r="AD24">
        <f>D24*'ราคาต้นทุน (Asset)'!$E$1</f>
        <v>42712140</v>
      </c>
      <c r="AE24" s="1" cm="1">
        <f t="array" ref="AE24">_xlfn.LET(_xlpm.result,INDEX(ASSET!U:U, MATCH(TRIM($C24), TRIM(ASSET!$A:$A), 0)),IF(ISNUMBER(SEARCH("-", _xlpm.result)), 0, _xlpm.result))</f>
        <v>3795800</v>
      </c>
      <c r="AF24" s="66">
        <f>group_data_final[[#This Row],[ค่าบำรุงจุดกางเต็นท์]]/300000</f>
        <v>0</v>
      </c>
      <c r="AG24" s="1" cm="1">
        <f t="array" ref="AG24">_xlfn.LET(_xlpm.result,INDEX(ราคาค่าบำรุง!D:D, MATCH(TRIM($C24), TRIM(ราคาค่าบำรุง!$A:$A), 0)),IF(ISNUMBER(SEARCH("-", _xlpm.result)), 0, _xlpm.result))</f>
        <v>0</v>
      </c>
      <c r="AH24" s="66">
        <f>group_data_final[[#This Row],[ค่าบำรุงจุดพักรถ]]/300000</f>
        <v>1</v>
      </c>
      <c r="AI24" s="1" cm="1">
        <f t="array" ref="AI24">_xlfn.LET(_xlpm.result,INDEX(ราคาค่าบำรุง!F:F, MATCH(TRIM($C24), TRIM(ราคาค่าบำรุง!$A:$A), 0)),IF(ISNUMBER(SEARCH("-", _xlpm.result)), 0, _xlpm.result))</f>
        <v>300000</v>
      </c>
      <c r="AJ24" s="66">
        <f>group_data_final[[#This Row],[ค่าบำรุงภูมิสถาปัตย์]]/300000</f>
        <v>0</v>
      </c>
      <c r="AK24" s="1" cm="1">
        <f t="array" ref="AK24">_xlfn.LET(_xlpm.result,INDEX(ราคาค่าบำรุง!H:H, MATCH(TRIM($C24), TRIM(ราคาค่าบำรุง!$A:$A), 0)),IF(ISNUMBER(SEARCH("-", _xlpm.result)), 0, _xlpm.result))</f>
        <v>0</v>
      </c>
      <c r="AL24">
        <f t="shared" si="0"/>
        <v>0</v>
      </c>
      <c r="AM24">
        <f>_xlfn.XLOOKUP(group_data_final[[#This Row],[depot_code]],C:C,แผน68!D:D)</f>
        <v>23268968</v>
      </c>
      <c r="AN24">
        <v>9546.9110000000001</v>
      </c>
    </row>
    <row r="25" spans="1:40">
      <c r="A25" t="s">
        <v>64</v>
      </c>
      <c r="B25" t="s">
        <v>65</v>
      </c>
      <c r="C25" s="39">
        <v>411</v>
      </c>
      <c r="D25" cm="1">
        <f t="array" ref="D25">_xlfn.LET(_xlpm.result,INDEX(ระยะทาง!C:C, MATCH(TRIM(C25), TRIM(ระยะทาง!$A:$A), 0)),IF(ISNUMBER(SEARCH("-", _xlpm.result)), 0, _xlpm.result))</f>
        <v>566.44399999999996</v>
      </c>
      <c r="E25" cm="1">
        <f t="array" ref="E25">_xlfn.LET(_xlpm.result,INDEX(ระยะทาง!D:D, MATCH(TRIM($C25), TRIM(ระยะทาง!$A:$A), 0)),IF(ISNUMBER(SEARCH("-", _xlpm.result)), 0, _xlpm.result))</f>
        <v>7519309714</v>
      </c>
      <c r="F25">
        <v>452053776</v>
      </c>
      <c r="G25">
        <v>3.4143846153846154</v>
      </c>
      <c r="H25">
        <v>140.483</v>
      </c>
      <c r="I25">
        <v>1</v>
      </c>
      <c r="J25">
        <v>12</v>
      </c>
      <c r="K25">
        <v>7.125</v>
      </c>
      <c r="L25">
        <v>3.5</v>
      </c>
      <c r="M25">
        <v>7.4</v>
      </c>
      <c r="N25">
        <v>272.99900000000002</v>
      </c>
      <c r="O25">
        <v>2</v>
      </c>
      <c r="P25">
        <v>18</v>
      </c>
      <c r="Q25">
        <v>7</v>
      </c>
      <c r="R25">
        <v>3.4655</v>
      </c>
      <c r="S25">
        <v>5.6982499999999998</v>
      </c>
      <c r="T25">
        <v>13750</v>
      </c>
      <c r="U25">
        <v>0</v>
      </c>
      <c r="V25">
        <v>310071.32</v>
      </c>
      <c r="W25">
        <v>106000.90000000001</v>
      </c>
      <c r="X25">
        <v>74971.627000000008</v>
      </c>
      <c r="Y25">
        <v>47034.898999999998</v>
      </c>
      <c r="Z25">
        <v>65.160109671436771</v>
      </c>
      <c r="AA25">
        <v>1402.7974272255565</v>
      </c>
      <c r="AB25">
        <v>9.2167561806034193E-2</v>
      </c>
      <c r="AC25">
        <v>26.720262019141199</v>
      </c>
      <c r="AD25">
        <f>D25*'ราคาต้นทุน (Asset)'!$E$1</f>
        <v>33986640</v>
      </c>
      <c r="AE25" s="1" cm="1">
        <f t="array" ref="AE25">_xlfn.LET(_xlpm.result,INDEX(ASSET!U:U, MATCH(TRIM($C25), TRIM(ASSET!$A:$A), 0)),IF(ISNUMBER(SEARCH("-", _xlpm.result)), 0, _xlpm.result))</f>
        <v>5661600</v>
      </c>
      <c r="AF25" s="66">
        <f>group_data_final[[#This Row],[ค่าบำรุงจุดกางเต็นท์]]/300000</f>
        <v>0</v>
      </c>
      <c r="AG25" s="1" cm="1">
        <f t="array" ref="AG25">_xlfn.LET(_xlpm.result,INDEX(ราคาค่าบำรุง!D:D, MATCH(TRIM($C25), TRIM(ราคาค่าบำรุง!$A:$A), 0)),IF(ISNUMBER(SEARCH("-", _xlpm.result)), 0, _xlpm.result))</f>
        <v>0</v>
      </c>
      <c r="AH25" s="66">
        <f>group_data_final[[#This Row],[ค่าบำรุงจุดพักรถ]]/300000</f>
        <v>0</v>
      </c>
      <c r="AI25" s="1" cm="1">
        <f t="array" ref="AI25">_xlfn.LET(_xlpm.result,INDEX(ราคาค่าบำรุง!F:F, MATCH(TRIM($C25), TRIM(ราคาค่าบำรุง!$A:$A), 0)),IF(ISNUMBER(SEARCH("-", _xlpm.result)), 0, _xlpm.result))</f>
        <v>0</v>
      </c>
      <c r="AJ25" s="66">
        <f>group_data_final[[#This Row],[ค่าบำรุงภูมิสถาปัตย์]]/300000</f>
        <v>0</v>
      </c>
      <c r="AK25" s="1" cm="1">
        <f t="array" ref="AK25">_xlfn.LET(_xlpm.result,INDEX(ราคาค่าบำรุง!H:H, MATCH(TRIM($C25), TRIM(ราคาค่าบำรุง!$A:$A), 0)),IF(ISNUMBER(SEARCH("-", _xlpm.result)), 0, _xlpm.result))</f>
        <v>0</v>
      </c>
      <c r="AL25">
        <f t="shared" si="0"/>
        <v>0</v>
      </c>
      <c r="AM25">
        <f>_xlfn.XLOOKUP(group_data_final[[#This Row],[depot_code]],C:C,แผน68!D:D)</f>
        <v>28246563.100000001</v>
      </c>
      <c r="AN25">
        <v>33899.955999999998</v>
      </c>
    </row>
    <row r="26" spans="1:40">
      <c r="A26" t="s">
        <v>64</v>
      </c>
      <c r="B26" t="s">
        <v>66</v>
      </c>
      <c r="C26" s="39">
        <v>413</v>
      </c>
      <c r="D26" cm="1">
        <f t="array" ref="D26">_xlfn.LET(_xlpm.result,INDEX(ระยะทาง!C:C, MATCH(TRIM(C26), TRIM(ระยะทาง!$A:$A), 0)),IF(ISNUMBER(SEARCH("-", _xlpm.result)), 0, _xlpm.result))</f>
        <v>915.24199999999996</v>
      </c>
      <c r="E26" cm="1">
        <f t="array" ref="E26">_xlfn.LET(_xlpm.result,INDEX(ระยะทาง!D:D, MATCH(TRIM($C26), TRIM(ระยะทาง!$A:$A), 0)),IF(ISNUMBER(SEARCH("-", _xlpm.result)), 0, _xlpm.result))</f>
        <v>1318106863</v>
      </c>
      <c r="F26">
        <v>236324562</v>
      </c>
      <c r="G26">
        <v>2.8519473684210523</v>
      </c>
      <c r="H26">
        <v>338.71999999999997</v>
      </c>
      <c r="I26">
        <v>2</v>
      </c>
      <c r="J26">
        <v>10</v>
      </c>
      <c r="K26">
        <v>4.2666666666666666</v>
      </c>
      <c r="L26">
        <v>3.5830000000000002</v>
      </c>
      <c r="M26">
        <v>5</v>
      </c>
      <c r="N26">
        <v>355.73</v>
      </c>
      <c r="O26">
        <v>1</v>
      </c>
      <c r="P26">
        <v>10</v>
      </c>
      <c r="Q26">
        <v>3.75</v>
      </c>
      <c r="R26">
        <v>3.8746666666666667</v>
      </c>
      <c r="S26">
        <v>3.9500909090909091</v>
      </c>
      <c r="T26">
        <v>0</v>
      </c>
      <c r="U26">
        <v>0</v>
      </c>
      <c r="V26">
        <v>13275</v>
      </c>
      <c r="W26">
        <v>0</v>
      </c>
      <c r="X26">
        <v>25771.167999999998</v>
      </c>
      <c r="Y26">
        <v>23.496999999999996</v>
      </c>
      <c r="Z26">
        <v>6.5656053406189407</v>
      </c>
      <c r="AA26">
        <v>1.3719488280307499</v>
      </c>
      <c r="AB26">
        <v>1.0495491130695532E-2</v>
      </c>
      <c r="AC26">
        <v>6.2973561356858196</v>
      </c>
      <c r="AD26">
        <f>D26*'ราคาต้นทุน (Asset)'!$E$1</f>
        <v>54914520</v>
      </c>
      <c r="AE26" s="1" cm="1">
        <f t="array" ref="AE26">_xlfn.LET(_xlpm.result,INDEX(ASSET!U:U, MATCH(TRIM($C26), TRIM(ASSET!$A:$A), 0)),IF(ISNUMBER(SEARCH("-", _xlpm.result)), 0, _xlpm.result))</f>
        <v>3663400</v>
      </c>
      <c r="AF26" s="66">
        <f>group_data_final[[#This Row],[ค่าบำรุงจุดกางเต็นท์]]/300000</f>
        <v>1</v>
      </c>
      <c r="AG26" s="1" cm="1">
        <f t="array" ref="AG26">_xlfn.LET(_xlpm.result,INDEX(ราคาค่าบำรุง!D:D, MATCH(TRIM($C26), TRIM(ราคาค่าบำรุง!$A:$A), 0)),IF(ISNUMBER(SEARCH("-", _xlpm.result)), 0, _xlpm.result))</f>
        <v>300000</v>
      </c>
      <c r="AH26" s="66">
        <f>group_data_final[[#This Row],[ค่าบำรุงจุดพักรถ]]/300000</f>
        <v>0</v>
      </c>
      <c r="AI26" s="1" cm="1">
        <f t="array" ref="AI26">_xlfn.LET(_xlpm.result,INDEX(ราคาค่าบำรุง!F:F, MATCH(TRIM($C26), TRIM(ราคาค่าบำรุง!$A:$A), 0)),IF(ISNUMBER(SEARCH("-", _xlpm.result)), 0, _xlpm.result))</f>
        <v>0</v>
      </c>
      <c r="AJ26" s="66">
        <f>group_data_final[[#This Row],[ค่าบำรุงภูมิสถาปัตย์]]/300000</f>
        <v>0</v>
      </c>
      <c r="AK26" s="1" cm="1">
        <f t="array" ref="AK26">_xlfn.LET(_xlpm.result,INDEX(ราคาค่าบำรุง!H:H, MATCH(TRIM($C26), TRIM(ราคาค่าบำรุง!$A:$A), 0)),IF(ISNUMBER(SEARCH("-", _xlpm.result)), 0, _xlpm.result))</f>
        <v>0</v>
      </c>
      <c r="AL26">
        <f t="shared" si="0"/>
        <v>0</v>
      </c>
      <c r="AM26">
        <f>_xlfn.XLOOKUP(group_data_final[[#This Row],[depot_code]],C:C,แผน68!D:D)</f>
        <v>17901066.350000001</v>
      </c>
      <c r="AN26">
        <v>28840.903999999999</v>
      </c>
    </row>
    <row r="27" spans="1:40">
      <c r="A27" t="s">
        <v>64</v>
      </c>
      <c r="B27" t="s">
        <v>67</v>
      </c>
      <c r="C27" s="39">
        <v>414</v>
      </c>
      <c r="D27" cm="1">
        <f t="array" ref="D27">_xlfn.LET(_xlpm.result,INDEX(ระยะทาง!C:C, MATCH(TRIM(C27), TRIM(ระยะทาง!$A:$A), 0)),IF(ISNUMBER(SEARCH("-", _xlpm.result)), 0, _xlpm.result))</f>
        <v>554.83000000000004</v>
      </c>
      <c r="E27" cm="1">
        <f t="array" ref="E27">_xlfn.LET(_xlpm.result,INDEX(ระยะทาง!D:D, MATCH(TRIM($C27), TRIM(ระยะทาง!$A:$A), 0)),IF(ISNUMBER(SEARCH("-", _xlpm.result)), 0, _xlpm.result))</f>
        <v>3638326568</v>
      </c>
      <c r="F27">
        <v>129670330</v>
      </c>
      <c r="G27">
        <v>2.9063636363636363</v>
      </c>
      <c r="H27">
        <v>277.15800000000002</v>
      </c>
      <c r="I27">
        <v>1</v>
      </c>
      <c r="J27">
        <v>8</v>
      </c>
      <c r="K27">
        <v>4.0909090909090908</v>
      </c>
      <c r="L27">
        <v>3.5</v>
      </c>
      <c r="M27">
        <v>5</v>
      </c>
      <c r="N27">
        <v>13.347000000000001</v>
      </c>
      <c r="O27">
        <v>2</v>
      </c>
      <c r="P27">
        <v>6</v>
      </c>
      <c r="Q27">
        <v>4.4285714285714288</v>
      </c>
      <c r="R27">
        <v>3.5</v>
      </c>
      <c r="S27">
        <v>4.666666666666667</v>
      </c>
      <c r="T27">
        <v>63300</v>
      </c>
      <c r="U27">
        <v>0</v>
      </c>
      <c r="V27">
        <v>73682.8</v>
      </c>
      <c r="W27">
        <v>8464</v>
      </c>
      <c r="X27">
        <v>76685.97</v>
      </c>
      <c r="Y27">
        <v>76422.559999999998</v>
      </c>
      <c r="Z27">
        <v>17.959512103187983</v>
      </c>
      <c r="AA27">
        <v>58.646828421136078</v>
      </c>
      <c r="AB27">
        <v>0.14803002678053931</v>
      </c>
      <c r="AC27">
        <v>14.140237857969485</v>
      </c>
      <c r="AD27">
        <f>D27*'ราคาต้นทุน (Asset)'!$E$1</f>
        <v>33289800.000000004</v>
      </c>
      <c r="AE27" s="1" cm="1">
        <f t="array" ref="AE27">_xlfn.LET(_xlpm.result,INDEX(ASSET!U:U, MATCH(TRIM($C27), TRIM(ASSET!$A:$A), 0)),IF(ISNUMBER(SEARCH("-", _xlpm.result)), 0, _xlpm.result))</f>
        <v>3614600</v>
      </c>
      <c r="AF27" s="66">
        <f>group_data_final[[#This Row],[ค่าบำรุงจุดกางเต็นท์]]/300000</f>
        <v>1</v>
      </c>
      <c r="AG27" s="1" cm="1">
        <f t="array" ref="AG27">_xlfn.LET(_xlpm.result,INDEX(ราคาค่าบำรุง!D:D, MATCH(TRIM($C27), TRIM(ราคาค่าบำรุง!$A:$A), 0)),IF(ISNUMBER(SEARCH("-", _xlpm.result)), 0, _xlpm.result))</f>
        <v>300000</v>
      </c>
      <c r="AH27" s="66">
        <f>group_data_final[[#This Row],[ค่าบำรุงจุดพักรถ]]/300000</f>
        <v>1</v>
      </c>
      <c r="AI27" s="1" cm="1">
        <f t="array" ref="AI27">_xlfn.LET(_xlpm.result,INDEX(ราคาค่าบำรุง!F:F, MATCH(TRIM($C27), TRIM(ราคาค่าบำรุง!$A:$A), 0)),IF(ISNUMBER(SEARCH("-", _xlpm.result)), 0, _xlpm.result))</f>
        <v>300000</v>
      </c>
      <c r="AJ27" s="66">
        <f>group_data_final[[#This Row],[ค่าบำรุงภูมิสถาปัตย์]]/300000</f>
        <v>3</v>
      </c>
      <c r="AK27" s="1" cm="1">
        <f t="array" ref="AK27">_xlfn.LET(_xlpm.result,INDEX(ราคาค่าบำรุง!H:H, MATCH(TRIM($C27), TRIM(ราคาค่าบำรุง!$A:$A), 0)),IF(ISNUMBER(SEARCH("-", _xlpm.result)), 0, _xlpm.result))</f>
        <v>900000</v>
      </c>
      <c r="AL27">
        <f t="shared" si="0"/>
        <v>2</v>
      </c>
      <c r="AM27">
        <f>_xlfn.XLOOKUP(group_data_final[[#This Row],[depot_code]],C:C,แผน68!D:D)</f>
        <v>22150559.68</v>
      </c>
      <c r="AN27">
        <v>11004.597</v>
      </c>
    </row>
    <row r="28" spans="1:40">
      <c r="A28" t="s">
        <v>64</v>
      </c>
      <c r="B28" t="s">
        <v>68</v>
      </c>
      <c r="C28" s="39">
        <v>415</v>
      </c>
      <c r="D28" cm="1">
        <f t="array" ref="D28">_xlfn.LET(_xlpm.result,INDEX(ระยะทาง!C:C, MATCH(TRIM(C28), TRIM(ระยะทาง!$A:$A), 0)),IF(ISNUMBER(SEARCH("-", _xlpm.result)), 0, _xlpm.result))</f>
        <v>574.74300000000005</v>
      </c>
      <c r="E28" cm="1">
        <f t="array" ref="E28">_xlfn.LET(_xlpm.result,INDEX(ระยะทาง!D:D, MATCH(TRIM($C28), TRIM(ระยะทาง!$A:$A), 0)),IF(ISNUMBER(SEARCH("-", _xlpm.result)), 0, _xlpm.result))</f>
        <v>6055682425</v>
      </c>
      <c r="F28">
        <v>150872279</v>
      </c>
      <c r="G28">
        <v>2.7894444444444444</v>
      </c>
      <c r="H28">
        <v>433.59100000000001</v>
      </c>
      <c r="I28">
        <v>1</v>
      </c>
      <c r="J28">
        <v>8</v>
      </c>
      <c r="K28">
        <v>4.625</v>
      </c>
      <c r="L28">
        <v>3.5630000000000002</v>
      </c>
      <c r="M28">
        <v>6</v>
      </c>
      <c r="N28">
        <v>106.97399999999999</v>
      </c>
      <c r="O28">
        <v>2</v>
      </c>
      <c r="P28">
        <v>8</v>
      </c>
      <c r="Q28">
        <v>4.4285714285714288</v>
      </c>
      <c r="R28">
        <v>3.5</v>
      </c>
      <c r="S28">
        <v>6.0561999999999996</v>
      </c>
      <c r="T28">
        <v>0</v>
      </c>
      <c r="U28">
        <v>0</v>
      </c>
      <c r="V28">
        <v>1048292.96</v>
      </c>
      <c r="W28">
        <v>163800.9</v>
      </c>
      <c r="X28">
        <v>120014.41999999998</v>
      </c>
      <c r="Y28">
        <v>187397.47500000001</v>
      </c>
      <c r="Z28">
        <v>3.8779816796100839</v>
      </c>
      <c r="AA28">
        <v>1.1596769161332436</v>
      </c>
      <c r="AB28">
        <v>2.0321213241259836E-2</v>
      </c>
      <c r="AC28">
        <v>6.9702636024194033</v>
      </c>
      <c r="AD28">
        <f>D28*'ราคาต้นทุน (Asset)'!$E$1</f>
        <v>34484580</v>
      </c>
      <c r="AE28" s="1" cm="1">
        <f t="array" ref="AE28">_xlfn.LET(_xlpm.result,INDEX(ASSET!U:U, MATCH(TRIM($C28), TRIM(ASSET!$A:$A), 0)),IF(ISNUMBER(SEARCH("-", _xlpm.result)), 0, _xlpm.result))</f>
        <v>5136300</v>
      </c>
      <c r="AF28" s="66">
        <f>group_data_final[[#This Row],[ค่าบำรุงจุดกางเต็นท์]]/300000</f>
        <v>0</v>
      </c>
      <c r="AG28" s="1" cm="1">
        <f t="array" ref="AG28">_xlfn.LET(_xlpm.result,INDEX(ราคาค่าบำรุง!D:D, MATCH(TRIM($C28), TRIM(ราคาค่าบำรุง!$A:$A), 0)),IF(ISNUMBER(SEARCH("-", _xlpm.result)), 0, _xlpm.result))</f>
        <v>0</v>
      </c>
      <c r="AH28" s="66">
        <f>group_data_final[[#This Row],[ค่าบำรุงจุดพักรถ]]/300000</f>
        <v>0</v>
      </c>
      <c r="AI28" s="1" cm="1">
        <f t="array" ref="AI28">_xlfn.LET(_xlpm.result,INDEX(ราคาค่าบำรุง!F:F, MATCH(TRIM($C28), TRIM(ราคาค่าบำรุง!$A:$A), 0)),IF(ISNUMBER(SEARCH("-", _xlpm.result)), 0, _xlpm.result))</f>
        <v>0</v>
      </c>
      <c r="AJ28" s="66">
        <f>group_data_final[[#This Row],[ค่าบำรุงภูมิสถาปัตย์]]/300000</f>
        <v>1</v>
      </c>
      <c r="AK28" s="1" cm="1">
        <f t="array" ref="AK28">_xlfn.LET(_xlpm.result,INDEX(ราคาค่าบำรุง!H:H, MATCH(TRIM($C28), TRIM(ราคาค่าบำรุง!$A:$A), 0)),IF(ISNUMBER(SEARCH("-", _xlpm.result)), 0, _xlpm.result))</f>
        <v>300000</v>
      </c>
      <c r="AL28">
        <f t="shared" si="0"/>
        <v>0</v>
      </c>
      <c r="AM28">
        <f>_xlfn.XLOOKUP(group_data_final[[#This Row],[depot_code]],C:C,แผน68!D:D)</f>
        <v>7450616</v>
      </c>
      <c r="AN28">
        <v>22085.925999999999</v>
      </c>
    </row>
    <row r="29" spans="1:40">
      <c r="A29" t="s">
        <v>64</v>
      </c>
      <c r="B29" t="s">
        <v>69</v>
      </c>
      <c r="C29" s="39">
        <v>416</v>
      </c>
      <c r="D29" cm="1">
        <f t="array" ref="D29">_xlfn.LET(_xlpm.result,INDEX(ระยะทาง!C:C, MATCH(TRIM(C29), TRIM(ระยะทาง!$A:$A), 0)),IF(ISNUMBER(SEARCH("-", _xlpm.result)), 0, _xlpm.result))</f>
        <v>623.46900000000005</v>
      </c>
      <c r="E29" cm="1">
        <f t="array" ref="E29">_xlfn.LET(_xlpm.result,INDEX(ระยะทาง!D:D, MATCH(TRIM($C29), TRIM(ระยะทาง!$A:$A), 0)),IF(ISNUMBER(SEARCH("-", _xlpm.result)), 0, _xlpm.result))</f>
        <v>2556577365</v>
      </c>
      <c r="F29">
        <v>83657604</v>
      </c>
      <c r="G29">
        <v>3.3057777777777777</v>
      </c>
      <c r="H29">
        <v>223.89699999999999</v>
      </c>
      <c r="I29">
        <v>2</v>
      </c>
      <c r="J29">
        <v>10</v>
      </c>
      <c r="K29">
        <v>6.666666666666667</v>
      </c>
      <c r="L29">
        <v>3.5</v>
      </c>
      <c r="M29">
        <v>9</v>
      </c>
      <c r="N29">
        <v>99.402999999999992</v>
      </c>
      <c r="O29">
        <v>1</v>
      </c>
      <c r="P29">
        <v>10</v>
      </c>
      <c r="Q29">
        <v>5.333333333333333</v>
      </c>
      <c r="R29">
        <v>3.4583333333333335</v>
      </c>
      <c r="S29">
        <v>5.0056666666666665</v>
      </c>
      <c r="T29">
        <v>0</v>
      </c>
      <c r="U29">
        <v>0</v>
      </c>
      <c r="V29">
        <v>142669.00199999998</v>
      </c>
      <c r="W29">
        <v>35905.800000000003</v>
      </c>
      <c r="X29">
        <v>18181.375</v>
      </c>
      <c r="Y29">
        <v>35648</v>
      </c>
      <c r="Z29">
        <v>4.5291422398730994</v>
      </c>
      <c r="AA29">
        <v>2.8799725110128449</v>
      </c>
      <c r="AB29">
        <v>-2.6588475778799559E-3</v>
      </c>
      <c r="AC29">
        <v>12.188030965657919</v>
      </c>
      <c r="AD29">
        <f>D29*'ราคาต้นทุน (Asset)'!$E$1</f>
        <v>37408140</v>
      </c>
      <c r="AE29" s="1" cm="1">
        <f t="array" ref="AE29">_xlfn.LET(_xlpm.result,INDEX(ASSET!U:U, MATCH(TRIM($C29), TRIM(ASSET!$A:$A), 0)),IF(ISNUMBER(SEARCH("-", _xlpm.result)), 0, _xlpm.result))</f>
        <v>3587700</v>
      </c>
      <c r="AF29" s="66">
        <f>group_data_final[[#This Row],[ค่าบำรุงจุดกางเต็นท์]]/300000</f>
        <v>0</v>
      </c>
      <c r="AG29" s="1" cm="1">
        <f t="array" ref="AG29">_xlfn.LET(_xlpm.result,INDEX(ราคาค่าบำรุง!D:D, MATCH(TRIM($C29), TRIM(ราคาค่าบำรุง!$A:$A), 0)),IF(ISNUMBER(SEARCH("-", _xlpm.result)), 0, _xlpm.result))</f>
        <v>0</v>
      </c>
      <c r="AH29" s="66">
        <f>group_data_final[[#This Row],[ค่าบำรุงจุดพักรถ]]/300000</f>
        <v>2</v>
      </c>
      <c r="AI29" s="1" cm="1">
        <f t="array" ref="AI29">_xlfn.LET(_xlpm.result,INDEX(ราคาค่าบำรุง!F:F, MATCH(TRIM($C29), TRIM(ราคาค่าบำรุง!$A:$A), 0)),IF(ISNUMBER(SEARCH("-", _xlpm.result)), 0, _xlpm.result))</f>
        <v>600000</v>
      </c>
      <c r="AJ29" s="66">
        <f>group_data_final[[#This Row],[ค่าบำรุงภูมิสถาปัตย์]]/300000</f>
        <v>3</v>
      </c>
      <c r="AK29" s="1" cm="1">
        <f t="array" ref="AK29">_xlfn.LET(_xlpm.result,INDEX(ราคาค่าบำรุง!H:H, MATCH(TRIM($C29), TRIM(ราคาค่าบำรุง!$A:$A), 0)),IF(ISNUMBER(SEARCH("-", _xlpm.result)), 0, _xlpm.result))</f>
        <v>900000</v>
      </c>
      <c r="AL29">
        <f t="shared" si="0"/>
        <v>0</v>
      </c>
      <c r="AM29">
        <f>_xlfn.XLOOKUP(group_data_final[[#This Row],[depot_code]],C:C,แผน68!D:D)</f>
        <v>94847495</v>
      </c>
      <c r="AN29">
        <v>37936.271999999997</v>
      </c>
    </row>
    <row r="30" spans="1:40">
      <c r="A30" t="s">
        <v>64</v>
      </c>
      <c r="B30" t="s">
        <v>70</v>
      </c>
      <c r="C30" s="39">
        <v>417</v>
      </c>
      <c r="D30" cm="1">
        <f t="array" ref="D30">_xlfn.LET(_xlpm.result,INDEX(ระยะทาง!C:C, MATCH(TRIM(C30), TRIM(ระยะทาง!$A:$A), 0)),IF(ISNUMBER(SEARCH("-", _xlpm.result)), 0, _xlpm.result))</f>
        <v>744.57799999999997</v>
      </c>
      <c r="E30" cm="1">
        <f t="array" ref="E30">_xlfn.LET(_xlpm.result,INDEX(ระยะทาง!D:D, MATCH(TRIM($C30), TRIM(ระยะทาง!$A:$A), 0)),IF(ISNUMBER(SEARCH("-", _xlpm.result)), 0, _xlpm.result))</f>
        <v>1947250357</v>
      </c>
      <c r="F30">
        <v>106013166</v>
      </c>
      <c r="G30">
        <v>3.3627272727272728</v>
      </c>
      <c r="H30">
        <v>416.78500000000003</v>
      </c>
      <c r="I30">
        <v>1</v>
      </c>
      <c r="J30">
        <v>13</v>
      </c>
      <c r="K30">
        <v>6</v>
      </c>
      <c r="L30">
        <v>3.5</v>
      </c>
      <c r="M30">
        <v>8.1229999999999993</v>
      </c>
      <c r="N30">
        <v>128.39699999999999</v>
      </c>
      <c r="O30">
        <v>1</v>
      </c>
      <c r="P30">
        <v>11</v>
      </c>
      <c r="Q30">
        <v>6.2857142857142856</v>
      </c>
      <c r="R30">
        <v>3.3821428571428571</v>
      </c>
      <c r="S30">
        <v>6.0120000000000005</v>
      </c>
      <c r="T30">
        <v>0</v>
      </c>
      <c r="U30">
        <v>0</v>
      </c>
      <c r="V30">
        <v>539832</v>
      </c>
      <c r="W30">
        <v>58734</v>
      </c>
      <c r="X30">
        <v>178634.348</v>
      </c>
      <c r="Y30">
        <v>160173</v>
      </c>
      <c r="Z30">
        <v>25.995936351883373</v>
      </c>
      <c r="AA30">
        <v>597.24280623878349</v>
      </c>
      <c r="AB30">
        <v>0.28740084304437735</v>
      </c>
      <c r="AC30">
        <v>33.325213854501257</v>
      </c>
      <c r="AD30">
        <f>D30*'ราคาต้นทุน (Asset)'!$E$1</f>
        <v>44674680</v>
      </c>
      <c r="AE30" s="1" cm="1">
        <f t="array" ref="AE30">_xlfn.LET(_xlpm.result,INDEX(ASSET!U:U, MATCH(TRIM($C30), TRIM(ASSET!$A:$A), 0)),IF(ISNUMBER(SEARCH("-", _xlpm.result)), 0, _xlpm.result))</f>
        <v>5284400</v>
      </c>
      <c r="AF30" s="66">
        <f>group_data_final[[#This Row],[ค่าบำรุงจุดกางเต็นท์]]/300000</f>
        <v>0</v>
      </c>
      <c r="AG30" s="1" cm="1">
        <f t="array" ref="AG30">_xlfn.LET(_xlpm.result,INDEX(ราคาค่าบำรุง!D:D, MATCH(TRIM($C30), TRIM(ราคาค่าบำรุง!$A:$A), 0)),IF(ISNUMBER(SEARCH("-", _xlpm.result)), 0, _xlpm.result))</f>
        <v>0</v>
      </c>
      <c r="AH30" s="66">
        <f>group_data_final[[#This Row],[ค่าบำรุงจุดพักรถ]]/300000</f>
        <v>2</v>
      </c>
      <c r="AI30" s="1" cm="1">
        <f t="array" ref="AI30">_xlfn.LET(_xlpm.result,INDEX(ราคาค่าบำรุง!F:F, MATCH(TRIM($C30), TRIM(ราคาค่าบำรุง!$A:$A), 0)),IF(ISNUMBER(SEARCH("-", _xlpm.result)), 0, _xlpm.result))</f>
        <v>600000</v>
      </c>
      <c r="AJ30" s="66">
        <f>group_data_final[[#This Row],[ค่าบำรุงภูมิสถาปัตย์]]/300000</f>
        <v>0</v>
      </c>
      <c r="AK30" s="1" cm="1">
        <f t="array" ref="AK30">_xlfn.LET(_xlpm.result,INDEX(ราคาค่าบำรุง!H:H, MATCH(TRIM($C30), TRIM(ราคาค่าบำรุง!$A:$A), 0)),IF(ISNUMBER(SEARCH("-", _xlpm.result)), 0, _xlpm.result))</f>
        <v>0</v>
      </c>
      <c r="AL30">
        <f t="shared" si="0"/>
        <v>0</v>
      </c>
      <c r="AM30">
        <f>_xlfn.XLOOKUP(group_data_final[[#This Row],[depot_code]],C:C,แผน68!D:D)</f>
        <v>17975960.899999999</v>
      </c>
      <c r="AN30">
        <v>32991.050000000003</v>
      </c>
    </row>
    <row r="31" spans="1:40">
      <c r="A31" t="s">
        <v>64</v>
      </c>
      <c r="B31" t="s">
        <v>71</v>
      </c>
      <c r="C31" s="39">
        <v>418</v>
      </c>
      <c r="D31" cm="1">
        <f t="array" ref="D31">_xlfn.LET(_xlpm.result,INDEX(ระยะทาง!C:C, MATCH(TRIM(C31), TRIM(ระยะทาง!$A:$A), 0)),IF(ISNUMBER(SEARCH("-", _xlpm.result)), 0, _xlpm.result))</f>
        <v>563.48900000000003</v>
      </c>
      <c r="E31" cm="1">
        <f t="array" ref="E31">_xlfn.LET(_xlpm.result,INDEX(ระยะทาง!D:D, MATCH(TRIM($C31), TRIM(ระยะทาง!$A:$A), 0)),IF(ISNUMBER(SEARCH("-", _xlpm.result)), 0, _xlpm.result))</f>
        <v>3393654584</v>
      </c>
      <c r="F31">
        <v>111865356</v>
      </c>
      <c r="G31">
        <v>3.5712857142857142</v>
      </c>
      <c r="H31">
        <v>48.626999999999995</v>
      </c>
      <c r="I31">
        <v>4</v>
      </c>
      <c r="J31">
        <v>8</v>
      </c>
      <c r="K31">
        <v>5.6</v>
      </c>
      <c r="L31">
        <v>3.65</v>
      </c>
      <c r="M31">
        <v>5</v>
      </c>
      <c r="N31">
        <v>392.87099999999998</v>
      </c>
      <c r="O31">
        <v>2</v>
      </c>
      <c r="P31">
        <v>12</v>
      </c>
      <c r="Q31">
        <v>6.25</v>
      </c>
      <c r="R31">
        <v>3.4833333333333329</v>
      </c>
      <c r="S31">
        <v>5.2661666666666669</v>
      </c>
      <c r="T31">
        <v>0</v>
      </c>
      <c r="U31">
        <v>0</v>
      </c>
      <c r="V31">
        <v>386054.41</v>
      </c>
      <c r="W31">
        <v>50532</v>
      </c>
      <c r="X31">
        <v>160337.29999999999</v>
      </c>
      <c r="Y31">
        <v>66524</v>
      </c>
      <c r="Z31">
        <v>8.9511558494250103</v>
      </c>
      <c r="AA31">
        <v>54.641867864953923</v>
      </c>
      <c r="AB31">
        <v>-8.9416946395679438E-3</v>
      </c>
      <c r="AC31">
        <v>13.213843848275543</v>
      </c>
      <c r="AD31">
        <f>D31*'ราคาต้นทุน (Asset)'!$E$1</f>
        <v>33809340</v>
      </c>
      <c r="AE31" s="1" cm="1">
        <f t="array" ref="AE31">_xlfn.LET(_xlpm.result,INDEX(ASSET!U:U, MATCH(TRIM($C31), TRIM(ASSET!$A:$A), 0)),IF(ISNUMBER(SEARCH("-", _xlpm.result)), 0, _xlpm.result))</f>
        <v>4623800</v>
      </c>
      <c r="AF31" s="66">
        <f>group_data_final[[#This Row],[ค่าบำรุงจุดกางเต็นท์]]/300000</f>
        <v>0</v>
      </c>
      <c r="AG31" s="1" cm="1">
        <f t="array" ref="AG31">_xlfn.LET(_xlpm.result,INDEX(ราคาค่าบำรุง!D:D, MATCH(TRIM($C31), TRIM(ราคาค่าบำรุง!$A:$A), 0)),IF(ISNUMBER(SEARCH("-", _xlpm.result)), 0, _xlpm.result))</f>
        <v>0</v>
      </c>
      <c r="AH31" s="66">
        <f>group_data_final[[#This Row],[ค่าบำรุงจุดพักรถ]]/300000</f>
        <v>3</v>
      </c>
      <c r="AI31" s="1" cm="1">
        <f t="array" ref="AI31">_xlfn.LET(_xlpm.result,INDEX(ราคาค่าบำรุง!F:F, MATCH(TRIM($C31), TRIM(ราคาค่าบำรุง!$A:$A), 0)),IF(ISNUMBER(SEARCH("-", _xlpm.result)), 0, _xlpm.result))</f>
        <v>900000</v>
      </c>
      <c r="AJ31" s="66">
        <f>group_data_final[[#This Row],[ค่าบำรุงภูมิสถาปัตย์]]/300000</f>
        <v>6</v>
      </c>
      <c r="AK31" s="1" cm="1">
        <f t="array" ref="AK31">_xlfn.LET(_xlpm.result,INDEX(ราคาค่าบำรุง!H:H, MATCH(TRIM($C31), TRIM(ราคาค่าบำรุง!$A:$A), 0)),IF(ISNUMBER(SEARCH("-", _xlpm.result)), 0, _xlpm.result))</f>
        <v>1800000</v>
      </c>
      <c r="AL31">
        <f t="shared" si="0"/>
        <v>0</v>
      </c>
      <c r="AM31">
        <f>_xlfn.XLOOKUP(group_data_final[[#This Row],[depot_code]],C:C,แผน68!D:D)</f>
        <v>26396681.800000001</v>
      </c>
      <c r="AN31">
        <v>34391.175000000003</v>
      </c>
    </row>
    <row r="32" spans="1:40">
      <c r="A32" t="s">
        <v>64</v>
      </c>
      <c r="B32" t="s">
        <v>72</v>
      </c>
      <c r="C32" s="39">
        <v>419</v>
      </c>
      <c r="D32" cm="1">
        <f t="array" ref="D32">_xlfn.LET(_xlpm.result,INDEX(ระยะทาง!C:C, MATCH(TRIM(C32), TRIM(ระยะทาง!$A:$A), 0)),IF(ISNUMBER(SEARCH("-", _xlpm.result)), 0, _xlpm.result))</f>
        <v>440.09199999999998</v>
      </c>
      <c r="E32" cm="1">
        <f t="array" ref="E32">_xlfn.LET(_xlpm.result,INDEX(ระยะทาง!D:D, MATCH(TRIM($C32), TRIM(ระยะทาง!$A:$A), 0)),IF(ISNUMBER(SEARCH("-", _xlpm.result)), 0, _xlpm.result))</f>
        <v>1688058836</v>
      </c>
      <c r="F32">
        <v>154140213</v>
      </c>
      <c r="G32">
        <v>2.7591666666666668</v>
      </c>
      <c r="H32">
        <v>17.16</v>
      </c>
      <c r="I32">
        <v>1</v>
      </c>
      <c r="J32">
        <v>8</v>
      </c>
      <c r="K32">
        <v>5</v>
      </c>
      <c r="L32">
        <v>3.5</v>
      </c>
      <c r="M32">
        <v>5</v>
      </c>
      <c r="N32">
        <v>5.5</v>
      </c>
      <c r="O32">
        <v>2</v>
      </c>
      <c r="P32">
        <v>6</v>
      </c>
      <c r="Q32">
        <v>5</v>
      </c>
      <c r="R32">
        <v>3.5</v>
      </c>
      <c r="S32">
        <v>3.5</v>
      </c>
      <c r="T32">
        <v>0</v>
      </c>
      <c r="U32">
        <v>0</v>
      </c>
      <c r="V32">
        <v>148137.03999999995</v>
      </c>
      <c r="W32">
        <v>53212</v>
      </c>
      <c r="X32">
        <v>41734.419999999933</v>
      </c>
      <c r="Y32">
        <v>39929</v>
      </c>
      <c r="Z32">
        <v>4.5214608033895987</v>
      </c>
      <c r="AA32">
        <v>3.2959946937382085</v>
      </c>
      <c r="AB32">
        <v>-7.0193837994565383E-2</v>
      </c>
      <c r="AC32">
        <v>17.052620065708012</v>
      </c>
      <c r="AD32">
        <f>D32*'ราคาต้นทุน (Asset)'!$E$1</f>
        <v>26405520</v>
      </c>
      <c r="AE32" s="1" cm="1">
        <f t="array" ref="AE32">_xlfn.LET(_xlpm.result,INDEX(ASSET!U:U, MATCH(TRIM($C32), TRIM(ASSET!$A:$A), 0)),IF(ISNUMBER(SEARCH("-", _xlpm.result)), 0, _xlpm.result))</f>
        <v>2623300</v>
      </c>
      <c r="AF32" s="66">
        <f>group_data_final[[#This Row],[ค่าบำรุงจุดกางเต็นท์]]/300000</f>
        <v>0</v>
      </c>
      <c r="AG32" s="1" cm="1">
        <f t="array" ref="AG32">_xlfn.LET(_xlpm.result,INDEX(ราคาค่าบำรุง!D:D, MATCH(TRIM($C32), TRIM(ราคาค่าบำรุง!$A:$A), 0)),IF(ISNUMBER(SEARCH("-", _xlpm.result)), 0, _xlpm.result))</f>
        <v>0</v>
      </c>
      <c r="AH32" s="66">
        <f>group_data_final[[#This Row],[ค่าบำรุงจุดพักรถ]]/300000</f>
        <v>2</v>
      </c>
      <c r="AI32" s="1" cm="1">
        <f t="array" ref="AI32">_xlfn.LET(_xlpm.result,INDEX(ราคาค่าบำรุง!F:F, MATCH(TRIM($C32), TRIM(ราคาค่าบำรุง!$A:$A), 0)),IF(ISNUMBER(SEARCH("-", _xlpm.result)), 0, _xlpm.result))</f>
        <v>600000</v>
      </c>
      <c r="AJ32" s="66">
        <f>group_data_final[[#This Row],[ค่าบำรุงภูมิสถาปัตย์]]/300000</f>
        <v>0</v>
      </c>
      <c r="AK32" s="1" cm="1">
        <f t="array" ref="AK32">_xlfn.LET(_xlpm.result,INDEX(ราคาค่าบำรุง!H:H, MATCH(TRIM($C32), TRIM(ราคาค่าบำรุง!$A:$A), 0)),IF(ISNUMBER(SEARCH("-", _xlpm.result)), 0, _xlpm.result))</f>
        <v>0</v>
      </c>
      <c r="AL32">
        <f t="shared" si="0"/>
        <v>0</v>
      </c>
      <c r="AM32">
        <f>_xlfn.XLOOKUP(group_data_final[[#This Row],[depot_code]],C:C,แผน68!D:D)</f>
        <v>39174819.990000002</v>
      </c>
      <c r="AN32">
        <v>41046.665999999997</v>
      </c>
    </row>
    <row r="33" spans="1:40">
      <c r="A33" t="s">
        <v>73</v>
      </c>
      <c r="B33" t="s">
        <v>74</v>
      </c>
      <c r="C33" s="39">
        <v>421</v>
      </c>
      <c r="D33" cm="1">
        <f t="array" ref="D33">_xlfn.LET(_xlpm.result,INDEX(ระยะทาง!C:C, MATCH(TRIM(C33), TRIM(ระยะทาง!$A:$A), 0)),IF(ISNUMBER(SEARCH("-", _xlpm.result)), 0, _xlpm.result))</f>
        <v>955.31600000000003</v>
      </c>
      <c r="E33" cm="1">
        <f t="array" ref="E33">_xlfn.LET(_xlpm.result,INDEX(ระยะทาง!D:D, MATCH(TRIM($C33), TRIM(ระยะทาง!$A:$A), 0)),IF(ISNUMBER(SEARCH("-", _xlpm.result)), 0, _xlpm.result))</f>
        <v>2918720562</v>
      </c>
      <c r="F33">
        <v>561282541</v>
      </c>
      <c r="G33">
        <v>2.7927222222222223</v>
      </c>
      <c r="H33">
        <v>313.76400000000001</v>
      </c>
      <c r="I33">
        <v>2</v>
      </c>
      <c r="J33">
        <v>8</v>
      </c>
      <c r="K33">
        <v>4.2666666666666666</v>
      </c>
      <c r="L33">
        <v>3.5</v>
      </c>
      <c r="M33">
        <v>7.1109999999999998</v>
      </c>
      <c r="N33">
        <v>322.02600000000001</v>
      </c>
      <c r="O33">
        <v>2</v>
      </c>
      <c r="P33">
        <v>12</v>
      </c>
      <c r="Q33">
        <v>5</v>
      </c>
      <c r="R33">
        <v>3.4964999999999997</v>
      </c>
      <c r="S33">
        <v>5.8176666666666668</v>
      </c>
      <c r="T33">
        <v>0</v>
      </c>
      <c r="U33">
        <v>0</v>
      </c>
      <c r="V33">
        <v>277562.15000000002</v>
      </c>
      <c r="W33">
        <v>0</v>
      </c>
      <c r="X33">
        <v>62846.65</v>
      </c>
      <c r="Y33">
        <v>118789</v>
      </c>
      <c r="Z33">
        <v>2.3367538911436689</v>
      </c>
      <c r="AA33">
        <v>2.9924958700963833</v>
      </c>
      <c r="AB33">
        <v>-8.9181284549806113E-3</v>
      </c>
      <c r="AC33">
        <v>3.3020281814777763</v>
      </c>
      <c r="AD33">
        <f>D33*'ราคาต้นทุน (Asset)'!$E$1</f>
        <v>57318960</v>
      </c>
      <c r="AE33" s="1" cm="1">
        <f t="array" ref="AE33">_xlfn.LET(_xlpm.result,INDEX(ASSET!U:U, MATCH(TRIM($C33), TRIM(ASSET!$A:$A), 0)),IF(ISNUMBER(SEARCH("-", _xlpm.result)), 0, _xlpm.result))</f>
        <v>3987900</v>
      </c>
      <c r="AF33" s="66">
        <f>group_data_final[[#This Row],[ค่าบำรุงจุดกางเต็นท์]]/300000</f>
        <v>0</v>
      </c>
      <c r="AG33" s="1" cm="1">
        <f t="array" ref="AG33">_xlfn.LET(_xlpm.result,INDEX(ราคาค่าบำรุง!D:D, MATCH(TRIM($C33), TRIM(ราคาค่าบำรุง!$A:$A), 0)),IF(ISNUMBER(SEARCH("-", _xlpm.result)), 0, _xlpm.result))</f>
        <v>0</v>
      </c>
      <c r="AH33" s="66">
        <f>group_data_final[[#This Row],[ค่าบำรุงจุดพักรถ]]/300000</f>
        <v>0</v>
      </c>
      <c r="AI33" s="1" cm="1">
        <f t="array" ref="AI33">_xlfn.LET(_xlpm.result,INDEX(ราคาค่าบำรุง!F:F, MATCH(TRIM($C33), TRIM(ราคาค่าบำรุง!$A:$A), 0)),IF(ISNUMBER(SEARCH("-", _xlpm.result)), 0, _xlpm.result))</f>
        <v>0</v>
      </c>
      <c r="AJ33" s="66">
        <f>group_data_final[[#This Row],[ค่าบำรุงภูมิสถาปัตย์]]/300000</f>
        <v>1</v>
      </c>
      <c r="AK33" s="1" cm="1">
        <f t="array" ref="AK33">_xlfn.LET(_xlpm.result,INDEX(ราคาค่าบำรุง!H:H, MATCH(TRIM($C33), TRIM(ราคาค่าบำรุง!$A:$A), 0)),IF(ISNUMBER(SEARCH("-", _xlpm.result)), 0, _xlpm.result))</f>
        <v>300000</v>
      </c>
      <c r="AL33">
        <f t="shared" si="0"/>
        <v>0</v>
      </c>
      <c r="AM33">
        <f>_xlfn.XLOOKUP(group_data_final[[#This Row],[depot_code]],C:C,แผน68!D:D)</f>
        <v>44418991.719999999</v>
      </c>
      <c r="AN33">
        <v>20978.356</v>
      </c>
    </row>
    <row r="34" spans="1:40">
      <c r="A34" t="s">
        <v>73</v>
      </c>
      <c r="B34" t="s">
        <v>75</v>
      </c>
      <c r="C34" s="39">
        <v>422</v>
      </c>
      <c r="D34" cm="1">
        <f t="array" ref="D34">_xlfn.LET(_xlpm.result,INDEX(ระยะทาง!C:C, MATCH(TRIM(C34), TRIM(ระยะทาง!$A:$A), 0)),IF(ISNUMBER(SEARCH("-", _xlpm.result)), 0, _xlpm.result))</f>
        <v>774.303</v>
      </c>
      <c r="E34" cm="1">
        <f t="array" ref="E34">_xlfn.LET(_xlpm.result,INDEX(ระยะทาง!D:D, MATCH(TRIM($C34), TRIM(ระยะทาง!$A:$A), 0)),IF(ISNUMBER(SEARCH("-", _xlpm.result)), 0, _xlpm.result))</f>
        <v>1888426826</v>
      </c>
      <c r="F34">
        <v>1177596583</v>
      </c>
      <c r="G34">
        <v>2.8210000000000002</v>
      </c>
      <c r="H34">
        <v>308.73200000000003</v>
      </c>
      <c r="I34">
        <v>1</v>
      </c>
      <c r="J34">
        <v>12</v>
      </c>
      <c r="K34">
        <v>4.7272727272727275</v>
      </c>
      <c r="L34">
        <v>3.5</v>
      </c>
      <c r="M34">
        <v>6.9</v>
      </c>
      <c r="N34">
        <v>165.679</v>
      </c>
      <c r="O34">
        <v>2</v>
      </c>
      <c r="P34">
        <v>10</v>
      </c>
      <c r="Q34">
        <v>4.875</v>
      </c>
      <c r="R34">
        <v>3.46875</v>
      </c>
      <c r="S34">
        <v>4.9991250000000003</v>
      </c>
      <c r="T34">
        <v>0</v>
      </c>
      <c r="U34">
        <v>0</v>
      </c>
      <c r="V34">
        <v>259932.81000000003</v>
      </c>
      <c r="W34">
        <v>0</v>
      </c>
      <c r="X34">
        <v>114850.15</v>
      </c>
      <c r="Y34">
        <v>118806.6</v>
      </c>
      <c r="Z34">
        <v>0.6717489658517718</v>
      </c>
      <c r="AA34">
        <v>1.9024405904861854</v>
      </c>
      <c r="AB34">
        <v>5.2394410899383155E-3</v>
      </c>
      <c r="AC34">
        <v>2.4263717013171906</v>
      </c>
      <c r="AD34">
        <f>D34*'ราคาต้นทุน (Asset)'!$E$1</f>
        <v>46458180</v>
      </c>
      <c r="AE34" s="1" cm="1">
        <f t="array" ref="AE34">_xlfn.LET(_xlpm.result,INDEX(ASSET!U:U, MATCH(TRIM($C34), TRIM(ASSET!$A:$A), 0)),IF(ISNUMBER(SEARCH("-", _xlpm.result)), 0, _xlpm.result))</f>
        <v>5075800</v>
      </c>
      <c r="AF34" s="66">
        <f>group_data_final[[#This Row],[ค่าบำรุงจุดกางเต็นท์]]/300000</f>
        <v>1</v>
      </c>
      <c r="AG34" s="1" cm="1">
        <f t="array" ref="AG34">_xlfn.LET(_xlpm.result,INDEX(ราคาค่าบำรุง!D:D, MATCH(TRIM($C34), TRIM(ราคาค่าบำรุง!$A:$A), 0)),IF(ISNUMBER(SEARCH("-", _xlpm.result)), 0, _xlpm.result))</f>
        <v>300000</v>
      </c>
      <c r="AH34" s="66">
        <f>group_data_final[[#This Row],[ค่าบำรุงจุดพักรถ]]/300000</f>
        <v>3</v>
      </c>
      <c r="AI34" s="1" cm="1">
        <f t="array" ref="AI34">_xlfn.LET(_xlpm.result,INDEX(ราคาค่าบำรุง!F:F, MATCH(TRIM($C34), TRIM(ราคาค่าบำรุง!$A:$A), 0)),IF(ISNUMBER(SEARCH("-", _xlpm.result)), 0, _xlpm.result))</f>
        <v>900000</v>
      </c>
      <c r="AJ34" s="66">
        <f>group_data_final[[#This Row],[ค่าบำรุงภูมิสถาปัตย์]]/300000</f>
        <v>2</v>
      </c>
      <c r="AK34" s="1" cm="1">
        <f t="array" ref="AK34">_xlfn.LET(_xlpm.result,INDEX(ราคาค่าบำรุง!H:H, MATCH(TRIM($C34), TRIM(ราคาค่าบำรุง!$A:$A), 0)),IF(ISNUMBER(SEARCH("-", _xlpm.result)), 0, _xlpm.result))</f>
        <v>600000</v>
      </c>
      <c r="AL34">
        <f t="shared" ref="AL34:AL65" si="1">IF(OR(COUNTIF(B34,"*กระบี่*"),COUNTIF(B34,"*จันทบุรี*"),COUNTIF(B34,"*ชุมพร*"),COUNTIF(B34,"*เชียงราย*"),COUNTIF(B34,"*ตรัง*"),COUNTIF(B34,"*นครนายก*"),COUNTIF(B34,"*ปราจีนบุรี*"),COUNTIF(B34,"*พัทลุง*"),COUNTIF(B34,"*ภูเก็ต*"),COUNTIF(B34,"*ยะลา*"),COUNTIF(B34,"*สกลนคร*"),COUNTIF(B34,"*สตูล*"),COUNTIF(B34,"*หนองคาย*"),COUNTIF(B34,"*สุราษฎร์ธานี*"),COUNTIF(B34,"*ปัตตานี*")),2,
IF(OR(COUNTIF(B34,"*ตราด*"),COUNTIF(B34,"*นครพนม*"),COUNTIF(B34,"*นครศรีธรรมราช*"),COUNTIF(B34,"*นราธิวาส*"),COUNTIF(B34,"*บึงกาฬ*"),COUNTIF(B34,"*พังงา*"),COUNTIF(B34,"*ระนอง*"),COUNTIF(B34,"*สงขลา*")),4,0))</f>
        <v>0</v>
      </c>
      <c r="AM34">
        <f>_xlfn.XLOOKUP(group_data_final[[#This Row],[depot_code]],C:C,แผน68!D:D)</f>
        <v>38774837.789999999</v>
      </c>
      <c r="AN34">
        <v>7966.9279999999999</v>
      </c>
    </row>
    <row r="35" spans="1:40">
      <c r="A35" t="s">
        <v>73</v>
      </c>
      <c r="B35" t="s">
        <v>76</v>
      </c>
      <c r="C35" s="39">
        <v>423</v>
      </c>
      <c r="D35" cm="1">
        <f t="array" ref="D35">_xlfn.LET(_xlpm.result,INDEX(ระยะทาง!C:C, MATCH(TRIM(C35), TRIM(ระยะทาง!$A:$A), 0)),IF(ISNUMBER(SEARCH("-", _xlpm.result)), 0, _xlpm.result))</f>
        <v>770.64400000000001</v>
      </c>
      <c r="E35" cm="1">
        <f t="array" ref="E35">_xlfn.LET(_xlpm.result,INDEX(ระยะทาง!D:D, MATCH(TRIM($C35), TRIM(ระยะทาง!$A:$A), 0)),IF(ISNUMBER(SEARCH("-", _xlpm.result)), 0, _xlpm.result))</f>
        <v>3225202515</v>
      </c>
      <c r="F35">
        <v>861721055</v>
      </c>
      <c r="G35">
        <v>2.2159999999999997</v>
      </c>
      <c r="H35">
        <v>444.32</v>
      </c>
      <c r="I35">
        <v>1</v>
      </c>
      <c r="J35">
        <v>8</v>
      </c>
      <c r="K35">
        <v>4.2222222222222223</v>
      </c>
      <c r="L35">
        <v>3.5</v>
      </c>
      <c r="M35">
        <v>5.9</v>
      </c>
      <c r="N35">
        <v>34.036999999999999</v>
      </c>
      <c r="O35">
        <v>1</v>
      </c>
      <c r="P35">
        <v>7</v>
      </c>
      <c r="Q35">
        <v>4.7142857142857144</v>
      </c>
      <c r="R35">
        <v>3.5554999999999999</v>
      </c>
      <c r="S35">
        <v>5.1230000000000002</v>
      </c>
      <c r="T35">
        <v>74530</v>
      </c>
      <c r="U35">
        <v>0</v>
      </c>
      <c r="V35">
        <v>152719.64000000001</v>
      </c>
      <c r="W35">
        <v>25723.137999999999</v>
      </c>
      <c r="X35">
        <v>129417.65700000001</v>
      </c>
      <c r="Y35">
        <v>111068</v>
      </c>
      <c r="Z35">
        <v>34.078895651527297</v>
      </c>
      <c r="AA35">
        <v>1312.7978354545955</v>
      </c>
      <c r="AB35">
        <v>-0.18119107601098225</v>
      </c>
      <c r="AC35">
        <v>53.911693130273882</v>
      </c>
      <c r="AD35">
        <f>D35*'ราคาต้นทุน (Asset)'!$E$1</f>
        <v>46238640</v>
      </c>
      <c r="AE35" s="1" cm="1">
        <f t="array" ref="AE35">_xlfn.LET(_xlpm.result,INDEX(ASSET!U:U, MATCH(TRIM($C35), TRIM(ASSET!$A:$A), 0)),IF(ISNUMBER(SEARCH("-", _xlpm.result)), 0, _xlpm.result))</f>
        <v>3957400</v>
      </c>
      <c r="AF35" s="66">
        <f>group_data_final[[#This Row],[ค่าบำรุงจุดกางเต็นท์]]/300000</f>
        <v>0</v>
      </c>
      <c r="AG35" s="1" cm="1">
        <f t="array" ref="AG35">_xlfn.LET(_xlpm.result,INDEX(ราคาค่าบำรุง!D:D, MATCH(TRIM($C35), TRIM(ราคาค่าบำรุง!$A:$A), 0)),IF(ISNUMBER(SEARCH("-", _xlpm.result)), 0, _xlpm.result))</f>
        <v>0</v>
      </c>
      <c r="AH35" s="66">
        <f>group_data_final[[#This Row],[ค่าบำรุงจุดพักรถ]]/300000</f>
        <v>0</v>
      </c>
      <c r="AI35" s="1" cm="1">
        <f t="array" ref="AI35">_xlfn.LET(_xlpm.result,INDEX(ราคาค่าบำรุง!F:F, MATCH(TRIM($C35), TRIM(ราคาค่าบำรุง!$A:$A), 0)),IF(ISNUMBER(SEARCH("-", _xlpm.result)), 0, _xlpm.result))</f>
        <v>0</v>
      </c>
      <c r="AJ35" s="66">
        <f>group_data_final[[#This Row],[ค่าบำรุงภูมิสถาปัตย์]]/300000</f>
        <v>2</v>
      </c>
      <c r="AK35" s="1" cm="1">
        <f t="array" ref="AK35">_xlfn.LET(_xlpm.result,INDEX(ราคาค่าบำรุง!H:H, MATCH(TRIM($C35), TRIM(ราคาค่าบำรุง!$A:$A), 0)),IF(ISNUMBER(SEARCH("-", _xlpm.result)), 0, _xlpm.result))</f>
        <v>600000</v>
      </c>
      <c r="AL35">
        <f t="shared" si="1"/>
        <v>2</v>
      </c>
      <c r="AM35">
        <f>_xlfn.XLOOKUP(group_data_final[[#This Row],[depot_code]],C:C,แผน68!D:D)</f>
        <v>24685294.829999998</v>
      </c>
      <c r="AN35">
        <v>5399</v>
      </c>
    </row>
    <row r="36" spans="1:40">
      <c r="A36" t="s">
        <v>73</v>
      </c>
      <c r="B36" t="s">
        <v>77</v>
      </c>
      <c r="C36" s="39">
        <v>425</v>
      </c>
      <c r="D36" cm="1">
        <f t="array" ref="D36">_xlfn.LET(_xlpm.result,INDEX(ระยะทาง!C:C, MATCH(TRIM(C36), TRIM(ระยะทาง!$A:$A), 0)),IF(ISNUMBER(SEARCH("-", _xlpm.result)), 0, _xlpm.result))</f>
        <v>677.55799999999999</v>
      </c>
      <c r="E36" cm="1">
        <f t="array" ref="E36">_xlfn.LET(_xlpm.result,INDEX(ระยะทาง!D:D, MATCH(TRIM($C36), TRIM(ระยะทาง!$A:$A), 0)),IF(ISNUMBER(SEARCH("-", _xlpm.result)), 0, _xlpm.result))</f>
        <v>1712443192</v>
      </c>
      <c r="F36">
        <v>444202384</v>
      </c>
      <c r="G36">
        <v>2.5288571428571429</v>
      </c>
      <c r="H36">
        <v>314.62099999999998</v>
      </c>
      <c r="I36">
        <v>1</v>
      </c>
      <c r="J36">
        <v>8</v>
      </c>
      <c r="K36">
        <v>4.1428571428571432</v>
      </c>
      <c r="L36">
        <v>3.5</v>
      </c>
      <c r="M36">
        <v>5</v>
      </c>
      <c r="N36">
        <v>17.606000000000002</v>
      </c>
      <c r="O36">
        <v>4</v>
      </c>
      <c r="P36">
        <v>10</v>
      </c>
      <c r="Q36">
        <v>5.666666666666667</v>
      </c>
      <c r="R36">
        <v>3.5</v>
      </c>
      <c r="S36">
        <v>4.8</v>
      </c>
      <c r="T36">
        <v>0</v>
      </c>
      <c r="U36">
        <v>0</v>
      </c>
      <c r="V36">
        <v>101039.9</v>
      </c>
      <c r="W36">
        <v>0</v>
      </c>
      <c r="X36">
        <v>137322.91999999998</v>
      </c>
      <c r="Y36">
        <v>140004</v>
      </c>
      <c r="Z36">
        <v>20.770313308185674</v>
      </c>
      <c r="AA36">
        <v>206.00969685112594</v>
      </c>
      <c r="AB36">
        <v>2.9062146430499421E-3</v>
      </c>
      <c r="AC36">
        <v>19.633619847622562</v>
      </c>
      <c r="AD36">
        <f>D36*'ราคาต้นทุน (Asset)'!$E$1</f>
        <v>40653480</v>
      </c>
      <c r="AE36" s="1" cm="1">
        <f t="array" ref="AE36">_xlfn.LET(_xlpm.result,INDEX(ASSET!U:U, MATCH(TRIM($C36), TRIM(ASSET!$A:$A), 0)),IF(ISNUMBER(SEARCH("-", _xlpm.result)), 0, _xlpm.result))</f>
        <v>2797500</v>
      </c>
      <c r="AF36" s="66">
        <f>group_data_final[[#This Row],[ค่าบำรุงจุดกางเต็นท์]]/300000</f>
        <v>0</v>
      </c>
      <c r="AG36" s="1" cm="1">
        <f t="array" ref="AG36">_xlfn.LET(_xlpm.result,INDEX(ราคาค่าบำรุง!D:D, MATCH(TRIM($C36), TRIM(ราคาค่าบำรุง!$A:$A), 0)),IF(ISNUMBER(SEARCH("-", _xlpm.result)), 0, _xlpm.result))</f>
        <v>0</v>
      </c>
      <c r="AH36" s="66">
        <f>group_data_final[[#This Row],[ค่าบำรุงจุดพักรถ]]/300000</f>
        <v>0</v>
      </c>
      <c r="AI36" s="1" cm="1">
        <f t="array" ref="AI36">_xlfn.LET(_xlpm.result,INDEX(ราคาค่าบำรุง!F:F, MATCH(TRIM($C36), TRIM(ราคาค่าบำรุง!$A:$A), 0)),IF(ISNUMBER(SEARCH("-", _xlpm.result)), 0, _xlpm.result))</f>
        <v>0</v>
      </c>
      <c r="AJ36" s="66">
        <f>group_data_final[[#This Row],[ค่าบำรุงภูมิสถาปัตย์]]/300000</f>
        <v>0</v>
      </c>
      <c r="AK36" s="1" cm="1">
        <f t="array" ref="AK36">_xlfn.LET(_xlpm.result,INDEX(ราคาค่าบำรุง!H:H, MATCH(TRIM($C36), TRIM(ราคาค่าบำรุง!$A:$A), 0)),IF(ISNUMBER(SEARCH("-", _xlpm.result)), 0, _xlpm.result))</f>
        <v>0</v>
      </c>
      <c r="AL36">
        <f t="shared" si="1"/>
        <v>4</v>
      </c>
      <c r="AM36">
        <f>_xlfn.XLOOKUP(group_data_final[[#This Row],[depot_code]],C:C,แผน68!D:D)</f>
        <v>18951930.5</v>
      </c>
      <c r="AN36">
        <v>6707</v>
      </c>
    </row>
    <row r="37" spans="1:40">
      <c r="A37" t="s">
        <v>73</v>
      </c>
      <c r="B37" t="s">
        <v>78</v>
      </c>
      <c r="C37" s="39">
        <v>426</v>
      </c>
      <c r="D37" cm="1">
        <f t="array" ref="D37">_xlfn.LET(_xlpm.result,INDEX(ระยะทาง!C:C, MATCH(TRIM(C37), TRIM(ระยะทาง!$A:$A), 0)),IF(ISNUMBER(SEARCH("-", _xlpm.result)), 0, _xlpm.result))</f>
        <v>960.971</v>
      </c>
      <c r="E37" cm="1">
        <f t="array" ref="E37">_xlfn.LET(_xlpm.result,INDEX(ระยะทาง!D:D, MATCH(TRIM($C37), TRIM(ระยะทาง!$A:$A), 0)),IF(ISNUMBER(SEARCH("-", _xlpm.result)), 0, _xlpm.result))</f>
        <v>1624636968</v>
      </c>
      <c r="F37">
        <v>441420873</v>
      </c>
      <c r="G37">
        <v>2.6442222222222225</v>
      </c>
      <c r="H37">
        <v>163.82399999999998</v>
      </c>
      <c r="I37">
        <v>2</v>
      </c>
      <c r="J37">
        <v>10</v>
      </c>
      <c r="K37">
        <v>4.333333333333333</v>
      </c>
      <c r="L37">
        <v>8.25</v>
      </c>
      <c r="M37">
        <v>12.25</v>
      </c>
      <c r="N37">
        <v>246.49600000000001</v>
      </c>
      <c r="O37">
        <v>2</v>
      </c>
      <c r="P37">
        <v>12</v>
      </c>
      <c r="Q37">
        <v>6.7142857142857144</v>
      </c>
      <c r="R37">
        <v>4.5999999999999996</v>
      </c>
      <c r="S37">
        <v>5.556</v>
      </c>
      <c r="T37">
        <v>0</v>
      </c>
      <c r="U37">
        <v>0</v>
      </c>
      <c r="V37">
        <v>117460.82</v>
      </c>
      <c r="W37">
        <v>244</v>
      </c>
      <c r="X37">
        <v>115982.3</v>
      </c>
      <c r="Y37">
        <v>114490.5</v>
      </c>
      <c r="Z37">
        <v>36.332930080560701</v>
      </c>
      <c r="AA37">
        <v>239.92035622956533</v>
      </c>
      <c r="AB37">
        <v>-7.1620957851163791E-2</v>
      </c>
      <c r="AC37">
        <v>16.188131955315772</v>
      </c>
      <c r="AD37">
        <f>D37*'ราคาต้นทุน (Asset)'!$E$1</f>
        <v>57658260</v>
      </c>
      <c r="AE37" s="1" cm="1">
        <f t="array" ref="AE37">_xlfn.LET(_xlpm.result,INDEX(ASSET!U:U, MATCH(TRIM($C37), TRIM(ASSET!$A:$A), 0)),IF(ISNUMBER(SEARCH("-", _xlpm.result)), 0, _xlpm.result))</f>
        <v>5633300</v>
      </c>
      <c r="AF37" s="66">
        <f>group_data_final[[#This Row],[ค่าบำรุงจุดกางเต็นท์]]/300000</f>
        <v>0</v>
      </c>
      <c r="AG37" s="1" cm="1">
        <f t="array" ref="AG37">_xlfn.LET(_xlpm.result,INDEX(ราคาค่าบำรุง!D:D, MATCH(TRIM($C37), TRIM(ราคาค่าบำรุง!$A:$A), 0)),IF(ISNUMBER(SEARCH("-", _xlpm.result)), 0, _xlpm.result))</f>
        <v>0</v>
      </c>
      <c r="AH37" s="66">
        <f>group_data_final[[#This Row],[ค่าบำรุงจุดพักรถ]]/300000</f>
        <v>0</v>
      </c>
      <c r="AI37" s="1" cm="1">
        <f t="array" ref="AI37">_xlfn.LET(_xlpm.result,INDEX(ราคาค่าบำรุง!F:F, MATCH(TRIM($C37), TRIM(ราคาค่าบำรุง!$A:$A), 0)),IF(ISNUMBER(SEARCH("-", _xlpm.result)), 0, _xlpm.result))</f>
        <v>0</v>
      </c>
      <c r="AJ37" s="66">
        <f>group_data_final[[#This Row],[ค่าบำรุงภูมิสถาปัตย์]]/300000</f>
        <v>0</v>
      </c>
      <c r="AK37" s="1" cm="1">
        <f t="array" ref="AK37">_xlfn.LET(_xlpm.result,INDEX(ราคาค่าบำรุง!H:H, MATCH(TRIM($C37), TRIM(ราคาค่าบำรุง!$A:$A), 0)),IF(ISNUMBER(SEARCH("-", _xlpm.result)), 0, _xlpm.result))</f>
        <v>0</v>
      </c>
      <c r="AL37">
        <f t="shared" si="1"/>
        <v>0</v>
      </c>
      <c r="AM37">
        <f>_xlfn.XLOOKUP(group_data_final[[#This Row],[depot_code]],C:C,แผน68!D:D)</f>
        <v>3241211.73</v>
      </c>
      <c r="AN37">
        <v>8861.7000000000007</v>
      </c>
    </row>
    <row r="38" spans="1:40">
      <c r="A38" t="s">
        <v>73</v>
      </c>
      <c r="B38" t="s">
        <v>79</v>
      </c>
      <c r="C38" s="39">
        <v>428</v>
      </c>
      <c r="D38" cm="1">
        <f t="array" ref="D38">_xlfn.LET(_xlpm.result,INDEX(ระยะทาง!C:C, MATCH(TRIM(C38), TRIM(ระยะทาง!$A:$A), 0)),IF(ISNUMBER(SEARCH("-", _xlpm.result)), 0, _xlpm.result))</f>
        <v>934.25900000000001</v>
      </c>
      <c r="E38" cm="1">
        <f t="array" ref="E38">_xlfn.LET(_xlpm.result,INDEX(ระยะทาง!D:D, MATCH(TRIM($C38), TRIM(ระยะทาง!$A:$A), 0)),IF(ISNUMBER(SEARCH("-", _xlpm.result)), 0, _xlpm.result))</f>
        <v>2251455796</v>
      </c>
      <c r="F38">
        <v>841407694</v>
      </c>
      <c r="G38">
        <v>2.79</v>
      </c>
      <c r="H38">
        <v>137.71099999999998</v>
      </c>
      <c r="I38">
        <v>2</v>
      </c>
      <c r="J38">
        <v>10</v>
      </c>
      <c r="K38">
        <v>5.4285714285714288</v>
      </c>
      <c r="L38">
        <v>3.5</v>
      </c>
      <c r="M38">
        <v>5</v>
      </c>
      <c r="N38">
        <v>261.97800000000001</v>
      </c>
      <c r="O38">
        <v>2</v>
      </c>
      <c r="P38">
        <v>10</v>
      </c>
      <c r="Q38">
        <v>6.2857142857142856</v>
      </c>
      <c r="R38">
        <v>3.5</v>
      </c>
      <c r="S38">
        <v>4.1427999999999994</v>
      </c>
      <c r="T38">
        <v>0</v>
      </c>
      <c r="U38">
        <v>0</v>
      </c>
      <c r="V38">
        <v>325043.3</v>
      </c>
      <c r="W38">
        <v>84475</v>
      </c>
      <c r="X38">
        <v>56838.97</v>
      </c>
      <c r="Y38">
        <v>56527</v>
      </c>
      <c r="Z38">
        <v>19.463853615288709</v>
      </c>
      <c r="AA38">
        <v>128.35056097884492</v>
      </c>
      <c r="AB38">
        <v>-0.18518108115800822</v>
      </c>
      <c r="AC38">
        <v>34.174476143274603</v>
      </c>
      <c r="AD38">
        <f>D38*'ราคาต้นทุน (Asset)'!$E$1</f>
        <v>56055540</v>
      </c>
      <c r="AE38" s="1" cm="1">
        <f t="array" ref="AE38">_xlfn.LET(_xlpm.result,INDEX(ASSET!U:U, MATCH(TRIM($C38), TRIM(ASSET!$A:$A), 0)),IF(ISNUMBER(SEARCH("-", _xlpm.result)), 0, _xlpm.result))</f>
        <v>6803600</v>
      </c>
      <c r="AF38" s="66">
        <f>group_data_final[[#This Row],[ค่าบำรุงจุดกางเต็นท์]]/300000</f>
        <v>0</v>
      </c>
      <c r="AG38" s="1" cm="1">
        <f t="array" ref="AG38">_xlfn.LET(_xlpm.result,INDEX(ราคาค่าบำรุง!D:D, MATCH(TRIM($C38), TRIM(ราคาค่าบำรุง!$A:$A), 0)),IF(ISNUMBER(SEARCH("-", _xlpm.result)), 0, _xlpm.result))</f>
        <v>0</v>
      </c>
      <c r="AH38" s="66">
        <f>group_data_final[[#This Row],[ค่าบำรุงจุดพักรถ]]/300000</f>
        <v>1</v>
      </c>
      <c r="AI38" s="1" cm="1">
        <f t="array" ref="AI38">_xlfn.LET(_xlpm.result,INDEX(ราคาค่าบำรุง!F:F, MATCH(TRIM($C38), TRIM(ราคาค่าบำรุง!$A:$A), 0)),IF(ISNUMBER(SEARCH("-", _xlpm.result)), 0, _xlpm.result))</f>
        <v>300000</v>
      </c>
      <c r="AJ38" s="66">
        <f>group_data_final[[#This Row],[ค่าบำรุงภูมิสถาปัตย์]]/300000</f>
        <v>0</v>
      </c>
      <c r="AK38" s="1" cm="1">
        <f t="array" ref="AK38">_xlfn.LET(_xlpm.result,INDEX(ราคาค่าบำรุง!H:H, MATCH(TRIM($C38), TRIM(ราคาค่าบำรุง!$A:$A), 0)),IF(ISNUMBER(SEARCH("-", _xlpm.result)), 0, _xlpm.result))</f>
        <v>0</v>
      </c>
      <c r="AL38">
        <f t="shared" si="1"/>
        <v>0</v>
      </c>
      <c r="AM38">
        <f>_xlfn.XLOOKUP(group_data_final[[#This Row],[depot_code]],C:C,แผน68!D:D)</f>
        <v>21623707.629999999</v>
      </c>
      <c r="AN38">
        <v>18811.3</v>
      </c>
    </row>
    <row r="39" spans="1:40">
      <c r="A39" t="s">
        <v>80</v>
      </c>
      <c r="B39" t="s">
        <v>81</v>
      </c>
      <c r="C39" s="39">
        <v>431</v>
      </c>
      <c r="D39" cm="1">
        <f t="array" ref="D39">_xlfn.LET(_xlpm.result,INDEX(ระยะทาง!C:C, MATCH(TRIM(C39), TRIM(ระยะทาง!$A:$A), 0)),IF(ISNUMBER(SEARCH("-", _xlpm.result)), 0, _xlpm.result))</f>
        <v>861.41800000000001</v>
      </c>
      <c r="E39" cm="1">
        <f t="array" ref="E39">_xlfn.LET(_xlpm.result,INDEX(ระยะทาง!D:D, MATCH(TRIM($C39), TRIM(ระยะทาง!$A:$A), 0)),IF(ISNUMBER(SEARCH("-", _xlpm.result)), 0, _xlpm.result))</f>
        <v>1812487222</v>
      </c>
      <c r="F39">
        <v>230638765</v>
      </c>
      <c r="G39">
        <v>2.7077142857142857</v>
      </c>
      <c r="H39">
        <v>123.452</v>
      </c>
      <c r="I39">
        <v>2</v>
      </c>
      <c r="J39">
        <v>8</v>
      </c>
      <c r="K39">
        <v>4</v>
      </c>
      <c r="L39">
        <v>3.5</v>
      </c>
      <c r="M39">
        <v>5.45</v>
      </c>
      <c r="N39">
        <v>84.381</v>
      </c>
      <c r="O39">
        <v>4</v>
      </c>
      <c r="P39">
        <v>8</v>
      </c>
      <c r="Q39">
        <v>5.4</v>
      </c>
      <c r="R39">
        <v>3.4</v>
      </c>
      <c r="S39">
        <v>4.66</v>
      </c>
      <c r="T39">
        <v>0</v>
      </c>
      <c r="U39">
        <v>0</v>
      </c>
      <c r="V39">
        <v>117675.91000000002</v>
      </c>
      <c r="W39">
        <v>1527813.6</v>
      </c>
      <c r="X39">
        <v>81574.805999999997</v>
      </c>
      <c r="Y39">
        <v>73871.370999999999</v>
      </c>
      <c r="Z39">
        <v>44.367647359838557</v>
      </c>
      <c r="AA39">
        <v>140.28481678695431</v>
      </c>
      <c r="AB39">
        <v>0.1379265814401294</v>
      </c>
      <c r="AC39">
        <v>10.538111431514048</v>
      </c>
      <c r="AD39">
        <f>D39*'ราคาต้นทุน (Asset)'!$E$1</f>
        <v>51685080</v>
      </c>
      <c r="AE39" s="1" cm="1">
        <f t="array" ref="AE39">_xlfn.LET(_xlpm.result,INDEX(ASSET!U:U, MATCH(TRIM($C39), TRIM(ASSET!$A:$A), 0)),IF(ISNUMBER(SEARCH("-", _xlpm.result)), 0, _xlpm.result))</f>
        <v>4680800</v>
      </c>
      <c r="AF39" s="66">
        <f>group_data_final[[#This Row],[ค่าบำรุงจุดกางเต็นท์]]/300000</f>
        <v>1</v>
      </c>
      <c r="AG39" s="1" cm="1">
        <f t="array" ref="AG39">_xlfn.LET(_xlpm.result,INDEX(ราคาค่าบำรุง!D:D, MATCH(TRIM($C39), TRIM(ราคาค่าบำรุง!$A:$A), 0)),IF(ISNUMBER(SEARCH("-", _xlpm.result)), 0, _xlpm.result))</f>
        <v>300000</v>
      </c>
      <c r="AH39" s="66">
        <f>group_data_final[[#This Row],[ค่าบำรุงจุดพักรถ]]/300000</f>
        <v>2</v>
      </c>
      <c r="AI39" s="1" cm="1">
        <f t="array" ref="AI39">_xlfn.LET(_xlpm.result,INDEX(ราคาค่าบำรุง!F:F, MATCH(TRIM($C39), TRIM(ราคาค่าบำรุง!$A:$A), 0)),IF(ISNUMBER(SEARCH("-", _xlpm.result)), 0, _xlpm.result))</f>
        <v>600000</v>
      </c>
      <c r="AJ39" s="66">
        <f>group_data_final[[#This Row],[ค่าบำรุงภูมิสถาปัตย์]]/300000</f>
        <v>2</v>
      </c>
      <c r="AK39" s="1" cm="1">
        <f t="array" ref="AK39">_xlfn.LET(_xlpm.result,INDEX(ราคาค่าบำรุง!H:H, MATCH(TRIM($C39), TRIM(ราคาค่าบำรุง!$A:$A), 0)),IF(ISNUMBER(SEARCH("-", _xlpm.result)), 0, _xlpm.result))</f>
        <v>600000</v>
      </c>
      <c r="AL39">
        <f t="shared" si="1"/>
        <v>0</v>
      </c>
      <c r="AM39">
        <f>_xlfn.XLOOKUP(group_data_final[[#This Row],[depot_code]],C:C,แผน68!D:D)</f>
        <v>24056530.640000001</v>
      </c>
      <c r="AN39">
        <v>4541</v>
      </c>
    </row>
    <row r="40" spans="1:40">
      <c r="A40" t="s">
        <v>80</v>
      </c>
      <c r="B40" t="s">
        <v>82</v>
      </c>
      <c r="C40" s="39">
        <v>432</v>
      </c>
      <c r="D40" cm="1">
        <f t="array" ref="D40">_xlfn.LET(_xlpm.result,INDEX(ระยะทาง!C:C, MATCH(TRIM(C40), TRIM(ระยะทาง!$A:$A), 0)),IF(ISNUMBER(SEARCH("-", _xlpm.result)), 0, _xlpm.result))</f>
        <v>953.30899999999997</v>
      </c>
      <c r="E40" cm="1">
        <f t="array" ref="E40">_xlfn.LET(_xlpm.result,INDEX(ระยะทาง!D:D, MATCH(TRIM($C40), TRIM(ระยะทาง!$A:$A), 0)),IF(ISNUMBER(SEARCH("-", _xlpm.result)), 0, _xlpm.result))</f>
        <v>1574016267</v>
      </c>
      <c r="F40">
        <v>244396010</v>
      </c>
      <c r="G40">
        <v>3.1458421052631578</v>
      </c>
      <c r="H40">
        <v>220.51300000000001</v>
      </c>
      <c r="I40">
        <v>2</v>
      </c>
      <c r="J40">
        <v>6</v>
      </c>
      <c r="K40">
        <v>3.8181818181818183</v>
      </c>
      <c r="L40">
        <v>3.5</v>
      </c>
      <c r="M40">
        <v>5</v>
      </c>
      <c r="N40">
        <v>482.34899999999999</v>
      </c>
      <c r="O40">
        <v>1</v>
      </c>
      <c r="P40">
        <v>8</v>
      </c>
      <c r="Q40">
        <v>4.583333333333333</v>
      </c>
      <c r="R40">
        <v>3.3666666666666667</v>
      </c>
      <c r="S40">
        <v>4.4509999999999996</v>
      </c>
      <c r="T40">
        <v>11732</v>
      </c>
      <c r="U40">
        <v>0</v>
      </c>
      <c r="V40">
        <v>130493.45000000001</v>
      </c>
      <c r="W40">
        <v>36208.6</v>
      </c>
      <c r="X40">
        <v>87016.449999999983</v>
      </c>
      <c r="Y40">
        <v>493.51499999999999</v>
      </c>
      <c r="Z40">
        <v>38.144175180994011</v>
      </c>
      <c r="AA40">
        <v>107.39686543872817</v>
      </c>
      <c r="AB40">
        <v>8.8079800978219602E-2</v>
      </c>
      <c r="AC40">
        <v>12.307280832608676</v>
      </c>
      <c r="AD40">
        <f>D40*'ราคาต้นทุน (Asset)'!$E$1</f>
        <v>57198540</v>
      </c>
      <c r="AE40" s="1" cm="1">
        <f t="array" ref="AE40">_xlfn.LET(_xlpm.result,INDEX(ASSET!U:U, MATCH(TRIM($C40), TRIM(ASSET!$A:$A), 0)),IF(ISNUMBER(SEARCH("-", _xlpm.result)), 0, _xlpm.result))</f>
        <v>3556900</v>
      </c>
      <c r="AF40" s="66">
        <f>group_data_final[[#This Row],[ค่าบำรุงจุดกางเต็นท์]]/300000</f>
        <v>0</v>
      </c>
      <c r="AG40" s="1" cm="1">
        <f t="array" ref="AG40">_xlfn.LET(_xlpm.result,INDEX(ราคาค่าบำรุง!D:D, MATCH(TRIM($C40), TRIM(ราคาค่าบำรุง!$A:$A), 0)),IF(ISNUMBER(SEARCH("-", _xlpm.result)), 0, _xlpm.result))</f>
        <v>0</v>
      </c>
      <c r="AH40" s="66">
        <f>group_data_final[[#This Row],[ค่าบำรุงจุดพักรถ]]/300000</f>
        <v>2</v>
      </c>
      <c r="AI40" s="1" cm="1">
        <f t="array" ref="AI40">_xlfn.LET(_xlpm.result,INDEX(ราคาค่าบำรุง!F:F, MATCH(TRIM($C40), TRIM(ราคาค่าบำรุง!$A:$A), 0)),IF(ISNUMBER(SEARCH("-", _xlpm.result)), 0, _xlpm.result))</f>
        <v>600000</v>
      </c>
      <c r="AJ40" s="66">
        <f>group_data_final[[#This Row],[ค่าบำรุงภูมิสถาปัตย์]]/300000</f>
        <v>2</v>
      </c>
      <c r="AK40" s="1" cm="1">
        <f t="array" ref="AK40">_xlfn.LET(_xlpm.result,INDEX(ราคาค่าบำรุง!H:H, MATCH(TRIM($C40), TRIM(ราคาค่าบำรุง!$A:$A), 0)),IF(ISNUMBER(SEARCH("-", _xlpm.result)), 0, _xlpm.result))</f>
        <v>600000</v>
      </c>
      <c r="AL40">
        <f t="shared" si="1"/>
        <v>0</v>
      </c>
      <c r="AM40">
        <f>_xlfn.XLOOKUP(group_data_final[[#This Row],[depot_code]],C:C,แผน68!D:D)</f>
        <v>15892650.960000001</v>
      </c>
      <c r="AN40">
        <v>24167.035</v>
      </c>
    </row>
    <row r="41" spans="1:40">
      <c r="A41" t="s">
        <v>80</v>
      </c>
      <c r="B41" t="s">
        <v>83</v>
      </c>
      <c r="C41" s="39">
        <v>433</v>
      </c>
      <c r="D41" cm="1">
        <f t="array" ref="D41">_xlfn.LET(_xlpm.result,INDEX(ระยะทาง!C:C, MATCH(TRIM(C41), TRIM(ระยะทาง!$A:$A), 0)),IF(ISNUMBER(SEARCH("-", _xlpm.result)), 0, _xlpm.result))</f>
        <v>585.39499999999998</v>
      </c>
      <c r="E41" cm="1">
        <f t="array" ref="E41">_xlfn.LET(_xlpm.result,INDEX(ระยะทาง!D:D, MATCH(TRIM($C41), TRIM(ระยะทาง!$A:$A), 0)),IF(ISNUMBER(SEARCH("-", _xlpm.result)), 0, _xlpm.result))</f>
        <v>3177129290</v>
      </c>
      <c r="F41">
        <v>458871256</v>
      </c>
      <c r="G41">
        <v>2.35</v>
      </c>
      <c r="H41">
        <v>149.18100000000001</v>
      </c>
      <c r="I41">
        <v>2</v>
      </c>
      <c r="J41">
        <v>8</v>
      </c>
      <c r="K41">
        <v>5.2</v>
      </c>
      <c r="L41">
        <v>3.5</v>
      </c>
      <c r="M41">
        <v>5</v>
      </c>
      <c r="N41">
        <v>34.712000000000003</v>
      </c>
      <c r="O41">
        <v>2</v>
      </c>
      <c r="P41">
        <v>8</v>
      </c>
      <c r="Q41">
        <v>3.5</v>
      </c>
      <c r="R41">
        <v>3.5</v>
      </c>
      <c r="S41">
        <v>4.5</v>
      </c>
      <c r="T41">
        <v>4616</v>
      </c>
      <c r="U41">
        <v>0</v>
      </c>
      <c r="V41">
        <v>42133.25</v>
      </c>
      <c r="W41">
        <v>12956.6</v>
      </c>
      <c r="X41">
        <v>53977.120000000003</v>
      </c>
      <c r="Y41">
        <v>49177</v>
      </c>
      <c r="Z41">
        <v>13.259235285889782</v>
      </c>
      <c r="AA41">
        <v>1.7083251344473653</v>
      </c>
      <c r="AB41">
        <v>-1.634169415202355E-2</v>
      </c>
      <c r="AC41">
        <v>6.5916008065031839</v>
      </c>
      <c r="AD41">
        <f>D41*'ราคาต้นทุน (Asset)'!$E$1</f>
        <v>35123700</v>
      </c>
      <c r="AE41" s="1" cm="1">
        <f t="array" ref="AE41">_xlfn.LET(_xlpm.result,INDEX(ASSET!U:U, MATCH(TRIM($C41), TRIM(ASSET!$A:$A), 0)),IF(ISNUMBER(SEARCH("-", _xlpm.result)), 0, _xlpm.result))</f>
        <v>3448900</v>
      </c>
      <c r="AF41" s="66">
        <f>group_data_final[[#This Row],[ค่าบำรุงจุดกางเต็นท์]]/300000</f>
        <v>0</v>
      </c>
      <c r="AG41" s="1" cm="1">
        <f t="array" ref="AG41">_xlfn.LET(_xlpm.result,INDEX(ราคาค่าบำรุง!D:D, MATCH(TRIM($C41), TRIM(ราคาค่าบำรุง!$A:$A), 0)),IF(ISNUMBER(SEARCH("-", _xlpm.result)), 0, _xlpm.result))</f>
        <v>0</v>
      </c>
      <c r="AH41" s="66">
        <f>group_data_final[[#This Row],[ค่าบำรุงจุดพักรถ]]/300000</f>
        <v>1</v>
      </c>
      <c r="AI41" s="1" cm="1">
        <f t="array" ref="AI41">_xlfn.LET(_xlpm.result,INDEX(ราคาค่าบำรุง!F:F, MATCH(TRIM($C41), TRIM(ราคาค่าบำรุง!$A:$A), 0)),IF(ISNUMBER(SEARCH("-", _xlpm.result)), 0, _xlpm.result))</f>
        <v>300000</v>
      </c>
      <c r="AJ41" s="66">
        <f>group_data_final[[#This Row],[ค่าบำรุงภูมิสถาปัตย์]]/300000</f>
        <v>2</v>
      </c>
      <c r="AK41" s="1" cm="1">
        <f t="array" ref="AK41">_xlfn.LET(_xlpm.result,INDEX(ราคาค่าบำรุง!H:H, MATCH(TRIM($C41), TRIM(ราคาค่าบำรุง!$A:$A), 0)),IF(ISNUMBER(SEARCH("-", _xlpm.result)), 0, _xlpm.result))</f>
        <v>600000</v>
      </c>
      <c r="AL41">
        <f t="shared" si="1"/>
        <v>0</v>
      </c>
      <c r="AM41">
        <f>_xlfn.XLOOKUP(group_data_final[[#This Row],[depot_code]],C:C,แผน68!D:D)</f>
        <v>10931073</v>
      </c>
      <c r="AN41">
        <v>4437.1000000000004</v>
      </c>
    </row>
    <row r="42" spans="1:40">
      <c r="A42" t="s">
        <v>80</v>
      </c>
      <c r="B42" t="s">
        <v>84</v>
      </c>
      <c r="C42" s="39">
        <v>435</v>
      </c>
      <c r="D42" cm="1">
        <f t="array" ref="D42">_xlfn.LET(_xlpm.result,INDEX(ระยะทาง!C:C, MATCH(TRIM(C42), TRIM(ระยะทาง!$A:$A), 0)),IF(ISNUMBER(SEARCH("-", _xlpm.result)), 0, _xlpm.result))</f>
        <v>749.25199999999995</v>
      </c>
      <c r="E42" cm="1">
        <f t="array" ref="E42">_xlfn.LET(_xlpm.result,INDEX(ระยะทาง!D:D, MATCH(TRIM($C42), TRIM(ระยะทาง!$A:$A), 0)),IF(ISNUMBER(SEARCH("-", _xlpm.result)), 0, _xlpm.result))</f>
        <v>2969911457</v>
      </c>
      <c r="F42">
        <v>422350970</v>
      </c>
      <c r="G42">
        <v>2.490933333333333</v>
      </c>
      <c r="H42">
        <v>365.61099999999999</v>
      </c>
      <c r="I42">
        <v>2</v>
      </c>
      <c r="J42">
        <v>6</v>
      </c>
      <c r="K42">
        <v>3.1333333333333333</v>
      </c>
      <c r="L42">
        <v>3.5</v>
      </c>
      <c r="M42">
        <v>6.3</v>
      </c>
      <c r="N42">
        <v>0.35599999999999998</v>
      </c>
      <c r="O42">
        <v>4</v>
      </c>
      <c r="P42">
        <v>6</v>
      </c>
      <c r="Q42">
        <v>5</v>
      </c>
      <c r="T42">
        <v>0</v>
      </c>
      <c r="U42">
        <v>0</v>
      </c>
      <c r="V42">
        <v>35358.300000000003</v>
      </c>
      <c r="W42">
        <v>0</v>
      </c>
      <c r="X42">
        <v>96160.521999999968</v>
      </c>
      <c r="Y42">
        <v>111085</v>
      </c>
      <c r="Z42">
        <v>120.7222062840644</v>
      </c>
      <c r="AA42">
        <v>1287.3020882324768</v>
      </c>
      <c r="AB42">
        <v>0.14935077606379318</v>
      </c>
      <c r="AC42">
        <v>9.3734293999473657</v>
      </c>
      <c r="AD42">
        <f>D42*'ราคาต้นทุน (Asset)'!$E$1</f>
        <v>44955120</v>
      </c>
      <c r="AE42" s="1" cm="1">
        <f t="array" ref="AE42">_xlfn.LET(_xlpm.result,INDEX(ASSET!U:U, MATCH(TRIM($C42), TRIM(ASSET!$A:$A), 0)),IF(ISNUMBER(SEARCH("-", _xlpm.result)), 0, _xlpm.result))</f>
        <v>3012600</v>
      </c>
      <c r="AF42" s="66">
        <f>group_data_final[[#This Row],[ค่าบำรุงจุดกางเต็นท์]]/300000</f>
        <v>0</v>
      </c>
      <c r="AG42" s="1" cm="1">
        <f t="array" ref="AG42">_xlfn.LET(_xlpm.result,INDEX(ราคาค่าบำรุง!D:D, MATCH(TRIM($C42), TRIM(ราคาค่าบำรุง!$A:$A), 0)),IF(ISNUMBER(SEARCH("-", _xlpm.result)), 0, _xlpm.result))</f>
        <v>0</v>
      </c>
      <c r="AH42" s="66">
        <f>group_data_final[[#This Row],[ค่าบำรุงจุดพักรถ]]/300000</f>
        <v>0</v>
      </c>
      <c r="AI42" s="1" cm="1">
        <f t="array" ref="AI42">_xlfn.LET(_xlpm.result,INDEX(ราคาค่าบำรุง!F:F, MATCH(TRIM($C42), TRIM(ราคาค่าบำรุง!$A:$A), 0)),IF(ISNUMBER(SEARCH("-", _xlpm.result)), 0, _xlpm.result))</f>
        <v>0</v>
      </c>
      <c r="AJ42" s="66">
        <f>group_data_final[[#This Row],[ค่าบำรุงภูมิสถาปัตย์]]/300000</f>
        <v>0</v>
      </c>
      <c r="AK42" s="1" cm="1">
        <f t="array" ref="AK42">_xlfn.LET(_xlpm.result,INDEX(ราคาค่าบำรุง!H:H, MATCH(TRIM($C42), TRIM(ราคาค่าบำรุง!$A:$A), 0)),IF(ISNUMBER(SEARCH("-", _xlpm.result)), 0, _xlpm.result))</f>
        <v>0</v>
      </c>
      <c r="AL42">
        <f t="shared" si="1"/>
        <v>0</v>
      </c>
      <c r="AM42">
        <f>_xlfn.XLOOKUP(group_data_final[[#This Row],[depot_code]],C:C,แผน68!D:D)</f>
        <v>21907259</v>
      </c>
      <c r="AN42">
        <v>5163</v>
      </c>
    </row>
    <row r="43" spans="1:40">
      <c r="A43" t="s">
        <v>80</v>
      </c>
      <c r="B43" t="s">
        <v>85</v>
      </c>
      <c r="C43" s="39">
        <v>437</v>
      </c>
      <c r="D43" cm="1">
        <f t="array" ref="D43">_xlfn.LET(_xlpm.result,INDEX(ระยะทาง!C:C, MATCH(TRIM(C43), TRIM(ระยะทาง!$A:$A), 0)),IF(ISNUMBER(SEARCH("-", _xlpm.result)), 0, _xlpm.result))</f>
        <v>890.84199999999998</v>
      </c>
      <c r="E43" cm="1">
        <f t="array" ref="E43">_xlfn.LET(_xlpm.result,INDEX(ระยะทาง!D:D, MATCH(TRIM($C43), TRIM(ระยะทาง!$A:$A), 0)),IF(ISNUMBER(SEARCH("-", _xlpm.result)), 0, _xlpm.result))</f>
        <v>1533940963</v>
      </c>
      <c r="F43">
        <v>212510863</v>
      </c>
      <c r="G43">
        <v>2.7672727272727276</v>
      </c>
      <c r="H43">
        <v>262.15100000000001</v>
      </c>
      <c r="I43">
        <v>1</v>
      </c>
      <c r="J43">
        <v>10</v>
      </c>
      <c r="K43">
        <v>3.3636363636363638</v>
      </c>
      <c r="L43">
        <v>3.5</v>
      </c>
      <c r="M43">
        <v>5</v>
      </c>
      <c r="N43">
        <v>23.783999999999999</v>
      </c>
      <c r="O43">
        <v>1</v>
      </c>
      <c r="P43">
        <v>10</v>
      </c>
      <c r="Q43">
        <v>3.375</v>
      </c>
      <c r="R43">
        <v>3.5</v>
      </c>
      <c r="S43">
        <v>4.333333333333333</v>
      </c>
      <c r="T43">
        <v>29780</v>
      </c>
      <c r="U43">
        <v>0</v>
      </c>
      <c r="V43">
        <v>142043.79999999999</v>
      </c>
      <c r="W43">
        <v>21732.799999999999</v>
      </c>
      <c r="X43">
        <v>165959.45699999999</v>
      </c>
      <c r="Y43">
        <v>75621</v>
      </c>
      <c r="Z43">
        <v>45.183645041647118</v>
      </c>
      <c r="AA43">
        <v>75.872389764449551</v>
      </c>
      <c r="AB43">
        <v>0.12490745006982985</v>
      </c>
      <c r="AC43">
        <v>6.9039277414825388</v>
      </c>
      <c r="AD43">
        <f>D43*'ราคาต้นทุน (Asset)'!$E$1</f>
        <v>53450520</v>
      </c>
      <c r="AE43" s="1" cm="1">
        <f t="array" ref="AE43">_xlfn.LET(_xlpm.result,INDEX(ASSET!U:U, MATCH(TRIM($C43), TRIM(ASSET!$A:$A), 0)),IF(ISNUMBER(SEARCH("-", _xlpm.result)), 0, _xlpm.result))</f>
        <v>3993600</v>
      </c>
      <c r="AF43" s="66">
        <f>group_data_final[[#This Row],[ค่าบำรุงจุดกางเต็นท์]]/300000</f>
        <v>0</v>
      </c>
      <c r="AG43" s="1" cm="1">
        <f t="array" ref="AG43">_xlfn.LET(_xlpm.result,INDEX(ราคาค่าบำรุง!D:D, MATCH(TRIM($C43), TRIM(ราคาค่าบำรุง!$A:$A), 0)),IF(ISNUMBER(SEARCH("-", _xlpm.result)), 0, _xlpm.result))</f>
        <v>0</v>
      </c>
      <c r="AH43" s="66">
        <f>group_data_final[[#This Row],[ค่าบำรุงจุดพักรถ]]/300000</f>
        <v>0</v>
      </c>
      <c r="AI43" s="1" cm="1">
        <f t="array" ref="AI43">_xlfn.LET(_xlpm.result,INDEX(ราคาค่าบำรุง!F:F, MATCH(TRIM($C43), TRIM(ราคาค่าบำรุง!$A:$A), 0)),IF(ISNUMBER(SEARCH("-", _xlpm.result)), 0, _xlpm.result))</f>
        <v>0</v>
      </c>
      <c r="AJ43" s="66">
        <f>group_data_final[[#This Row],[ค่าบำรุงภูมิสถาปัตย์]]/300000</f>
        <v>3</v>
      </c>
      <c r="AK43" s="1" cm="1">
        <f t="array" ref="AK43">_xlfn.LET(_xlpm.result,INDEX(ราคาค่าบำรุง!H:H, MATCH(TRIM($C43), TRIM(ราคาค่าบำรุง!$A:$A), 0)),IF(ISNUMBER(SEARCH("-", _xlpm.result)), 0, _xlpm.result))</f>
        <v>900000</v>
      </c>
      <c r="AL43">
        <f t="shared" si="1"/>
        <v>0</v>
      </c>
      <c r="AM43">
        <f>_xlfn.XLOOKUP(group_data_final[[#This Row],[depot_code]],C:C,แผน68!D:D)</f>
        <v>23134918.710000001</v>
      </c>
      <c r="AN43">
        <v>12625.6</v>
      </c>
    </row>
    <row r="44" spans="1:40">
      <c r="A44" t="s">
        <v>80</v>
      </c>
      <c r="B44" t="s">
        <v>86</v>
      </c>
      <c r="C44" s="39">
        <v>438</v>
      </c>
      <c r="D44" cm="1">
        <f t="array" ref="D44">_xlfn.LET(_xlpm.result,INDEX(ระยะทาง!C:C, MATCH(TRIM(C44), TRIM(ระยะทาง!$A:$A), 0)),IF(ISNUMBER(SEARCH("-", _xlpm.result)), 0, _xlpm.result))</f>
        <v>841.38699999999994</v>
      </c>
      <c r="E44" cm="1">
        <f t="array" ref="E44">_xlfn.LET(_xlpm.result,INDEX(ระยะทาง!D:D, MATCH(TRIM($C44), TRIM(ระยะทาง!$A:$A), 0)),IF(ISNUMBER(SEARCH("-", _xlpm.result)), 0, _xlpm.result))</f>
        <v>2202577329</v>
      </c>
      <c r="F44">
        <v>26115212</v>
      </c>
      <c r="G44">
        <v>2.5607500000000001</v>
      </c>
      <c r="H44">
        <v>139.54899999999998</v>
      </c>
      <c r="I44">
        <v>2</v>
      </c>
      <c r="J44">
        <v>4</v>
      </c>
      <c r="K44">
        <v>3.25</v>
      </c>
      <c r="L44">
        <v>3.5</v>
      </c>
      <c r="M44">
        <v>4</v>
      </c>
      <c r="N44">
        <v>5.35</v>
      </c>
      <c r="O44">
        <v>4</v>
      </c>
      <c r="P44">
        <v>4</v>
      </c>
      <c r="Q44">
        <v>4</v>
      </c>
      <c r="R44">
        <v>3.5</v>
      </c>
      <c r="S44">
        <v>2</v>
      </c>
      <c r="T44">
        <v>0</v>
      </c>
      <c r="U44">
        <v>0</v>
      </c>
      <c r="V44">
        <v>76961.070000000007</v>
      </c>
      <c r="W44">
        <v>17777.600000000002</v>
      </c>
      <c r="X44">
        <v>93041.689999999988</v>
      </c>
      <c r="Y44">
        <v>36203</v>
      </c>
      <c r="Z44">
        <v>50.719555159367843</v>
      </c>
      <c r="AA44">
        <v>241.68805420072746</v>
      </c>
      <c r="AB44">
        <v>-1.2294623927654706E-2</v>
      </c>
      <c r="AC44">
        <v>6.5678777682928668</v>
      </c>
      <c r="AD44">
        <f>D44*'ราคาต้นทุน (Asset)'!$E$1</f>
        <v>50483220</v>
      </c>
      <c r="AE44" s="1" cm="1">
        <f t="array" ref="AE44">_xlfn.LET(_xlpm.result,INDEX(ASSET!U:U, MATCH(TRIM($C44), TRIM(ASSET!$A:$A), 0)),IF(ISNUMBER(SEARCH("-", _xlpm.result)), 0, _xlpm.result))</f>
        <v>3814800</v>
      </c>
      <c r="AF44" s="66">
        <f>group_data_final[[#This Row],[ค่าบำรุงจุดกางเต็นท์]]/300000</f>
        <v>0</v>
      </c>
      <c r="AG44" s="1" cm="1">
        <f t="array" ref="AG44">_xlfn.LET(_xlpm.result,INDEX(ราคาค่าบำรุง!D:D, MATCH(TRIM($C44), TRIM(ราคาค่าบำรุง!$A:$A), 0)),IF(ISNUMBER(SEARCH("-", _xlpm.result)), 0, _xlpm.result))</f>
        <v>0</v>
      </c>
      <c r="AH44" s="66">
        <f>group_data_final[[#This Row],[ค่าบำรุงจุดพักรถ]]/300000</f>
        <v>1</v>
      </c>
      <c r="AI44" s="1" cm="1">
        <f t="array" ref="AI44">_xlfn.LET(_xlpm.result,INDEX(ราคาค่าบำรุง!F:F, MATCH(TRIM($C44), TRIM(ราคาค่าบำรุง!$A:$A), 0)),IF(ISNUMBER(SEARCH("-", _xlpm.result)), 0, _xlpm.result))</f>
        <v>300000</v>
      </c>
      <c r="AJ44" s="66">
        <f>group_data_final[[#This Row],[ค่าบำรุงภูมิสถาปัตย์]]/300000</f>
        <v>1</v>
      </c>
      <c r="AK44" s="1" cm="1">
        <f t="array" ref="AK44">_xlfn.LET(_xlpm.result,INDEX(ราคาค่าบำรุง!H:H, MATCH(TRIM($C44), TRIM(ราคาค่าบำรุง!$A:$A), 0)),IF(ISNUMBER(SEARCH("-", _xlpm.result)), 0, _xlpm.result))</f>
        <v>300000</v>
      </c>
      <c r="AL44">
        <f t="shared" si="1"/>
        <v>0</v>
      </c>
      <c r="AM44">
        <f>_xlfn.XLOOKUP(group_data_final[[#This Row],[depot_code]],C:C,แผน68!D:D)</f>
        <v>44864899.299999997</v>
      </c>
      <c r="AN44">
        <v>3871</v>
      </c>
    </row>
    <row r="45" spans="1:40">
      <c r="A45" t="s">
        <v>87</v>
      </c>
      <c r="B45" t="s">
        <v>88</v>
      </c>
      <c r="C45" s="39">
        <v>441</v>
      </c>
      <c r="D45" cm="1">
        <f t="array" ref="D45">_xlfn.LET(_xlpm.result,INDEX(ระยะทาง!C:C, MATCH(TRIM(C45), TRIM(ระยะทาง!$A:$A), 0)),IF(ISNUMBER(SEARCH("-", _xlpm.result)), 0, _xlpm.result))</f>
        <v>915.81299999999999</v>
      </c>
      <c r="E45" cm="1">
        <f t="array" ref="E45">_xlfn.LET(_xlpm.result,INDEX(ระยะทาง!D:D, MATCH(TRIM($C45), TRIM(ระยะทาง!$A:$A), 0)),IF(ISNUMBER(SEARCH("-", _xlpm.result)), 0, _xlpm.result))</f>
        <v>1996469645</v>
      </c>
      <c r="F45">
        <v>87649696</v>
      </c>
      <c r="G45">
        <v>3.0048000000000004</v>
      </c>
      <c r="H45">
        <v>115.15599999999999</v>
      </c>
      <c r="I45">
        <v>1</v>
      </c>
      <c r="J45">
        <v>8</v>
      </c>
      <c r="K45">
        <v>2.7777777777777777</v>
      </c>
      <c r="L45">
        <v>3.5</v>
      </c>
      <c r="M45">
        <v>5</v>
      </c>
      <c r="N45">
        <v>407.46800000000002</v>
      </c>
      <c r="O45">
        <v>1</v>
      </c>
      <c r="P45">
        <v>8</v>
      </c>
      <c r="Q45">
        <v>4.1818181818181817</v>
      </c>
      <c r="R45">
        <v>3.5</v>
      </c>
      <c r="S45">
        <v>5.3868999999999998</v>
      </c>
      <c r="T45">
        <v>0</v>
      </c>
      <c r="U45">
        <v>0</v>
      </c>
      <c r="V45">
        <v>277765.67</v>
      </c>
      <c r="W45">
        <v>90122.5</v>
      </c>
      <c r="X45">
        <v>167543.82</v>
      </c>
      <c r="Y45">
        <v>135019</v>
      </c>
      <c r="Z45">
        <v>12.891936978593074</v>
      </c>
      <c r="AA45">
        <v>87.092470483517957</v>
      </c>
      <c r="AB45">
        <v>-1.6157599896568044E-2</v>
      </c>
      <c r="AC45">
        <v>5.0652272206367215</v>
      </c>
      <c r="AD45">
        <f>D45*'ราคาต้นทุน (Asset)'!$E$1</f>
        <v>54948780</v>
      </c>
      <c r="AE45" s="1" cm="1">
        <f t="array" ref="AE45">_xlfn.LET(_xlpm.result,INDEX(ASSET!U:U, MATCH(TRIM($C45), TRIM(ASSET!$A:$A), 0)),IF(ISNUMBER(SEARCH("-", _xlpm.result)), 0, _xlpm.result))</f>
        <v>5513100</v>
      </c>
      <c r="AF45" s="66">
        <f>group_data_final[[#This Row],[ค่าบำรุงจุดกางเต็นท์]]/300000</f>
        <v>0</v>
      </c>
      <c r="AG45" s="1" cm="1">
        <f t="array" ref="AG45">_xlfn.LET(_xlpm.result,INDEX(ราคาค่าบำรุง!D:D, MATCH(TRIM($C45), TRIM(ราคาค่าบำรุง!$A:$A), 0)),IF(ISNUMBER(SEARCH("-", _xlpm.result)), 0, _xlpm.result))</f>
        <v>0</v>
      </c>
      <c r="AH45" s="66">
        <f>group_data_final[[#This Row],[ค่าบำรุงจุดพักรถ]]/300000</f>
        <v>0</v>
      </c>
      <c r="AI45" s="1" cm="1">
        <f t="array" ref="AI45">_xlfn.LET(_xlpm.result,INDEX(ราคาค่าบำรุง!F:F, MATCH(TRIM($C45), TRIM(ราคาค่าบำรุง!$A:$A), 0)),IF(ISNUMBER(SEARCH("-", _xlpm.result)), 0, _xlpm.result))</f>
        <v>0</v>
      </c>
      <c r="AJ45" s="66">
        <f>group_data_final[[#This Row],[ค่าบำรุงภูมิสถาปัตย์]]/300000</f>
        <v>0</v>
      </c>
      <c r="AK45" s="1" cm="1">
        <f t="array" ref="AK45">_xlfn.LET(_xlpm.result,INDEX(ราคาค่าบำรุง!H:H, MATCH(TRIM($C45), TRIM(ราคาค่าบำรุง!$A:$A), 0)),IF(ISNUMBER(SEARCH("-", _xlpm.result)), 0, _xlpm.result))</f>
        <v>0</v>
      </c>
      <c r="AL45">
        <f t="shared" si="1"/>
        <v>0</v>
      </c>
      <c r="AM45">
        <f>_xlfn.XLOOKUP(group_data_final[[#This Row],[depot_code]],C:C,แผน68!D:D)</f>
        <v>9436328.3399999999</v>
      </c>
      <c r="AN45">
        <v>21833</v>
      </c>
    </row>
    <row r="46" spans="1:40">
      <c r="A46" t="s">
        <v>87</v>
      </c>
      <c r="B46" t="s">
        <v>89</v>
      </c>
      <c r="C46" s="39">
        <v>444</v>
      </c>
      <c r="D46" cm="1">
        <f t="array" ref="D46">_xlfn.LET(_xlpm.result,INDEX(ระยะทาง!C:C, MATCH(TRIM(C46), TRIM(ระยะทาง!$A:$A), 0)),IF(ISNUMBER(SEARCH("-", _xlpm.result)), 0, _xlpm.result))</f>
        <v>1017.353</v>
      </c>
      <c r="E46" cm="1">
        <f t="array" ref="E46">_xlfn.LET(_xlpm.result,INDEX(ระยะทาง!D:D, MATCH(TRIM($C46), TRIM(ระยะทาง!$A:$A), 0)),IF(ISNUMBER(SEARCH("-", _xlpm.result)), 0, _xlpm.result))</f>
        <v>1575957034</v>
      </c>
      <c r="F46">
        <v>589691748</v>
      </c>
      <c r="G46">
        <v>2.3801666666666668</v>
      </c>
      <c r="H46">
        <v>311.846</v>
      </c>
      <c r="I46">
        <v>2</v>
      </c>
      <c r="J46">
        <v>6</v>
      </c>
      <c r="K46">
        <v>3.25</v>
      </c>
      <c r="L46">
        <v>3.5</v>
      </c>
      <c r="M46">
        <v>5.3079999999999998</v>
      </c>
      <c r="N46">
        <v>27.634</v>
      </c>
      <c r="O46">
        <v>2</v>
      </c>
      <c r="P46">
        <v>8</v>
      </c>
      <c r="Q46">
        <v>4.5</v>
      </c>
      <c r="R46">
        <v>3.4166666666666665</v>
      </c>
      <c r="S46">
        <v>5.16</v>
      </c>
      <c r="T46">
        <v>0</v>
      </c>
      <c r="U46">
        <v>0</v>
      </c>
      <c r="V46">
        <v>36386.35</v>
      </c>
      <c r="W46">
        <v>940</v>
      </c>
      <c r="X46">
        <v>56313.61</v>
      </c>
      <c r="Y46">
        <v>27649</v>
      </c>
      <c r="Z46">
        <v>78.650462177691807</v>
      </c>
      <c r="AA46">
        <v>424.25197906452132</v>
      </c>
      <c r="AB46">
        <v>-0.13935526567274262</v>
      </c>
      <c r="AC46">
        <v>15.072919687516482</v>
      </c>
      <c r="AD46">
        <f>D46*'ราคาต้นทุน (Asset)'!$E$1</f>
        <v>61041180</v>
      </c>
      <c r="AE46" s="1" cm="1">
        <f t="array" ref="AE46">_xlfn.LET(_xlpm.result,INDEX(ASSET!U:U, MATCH(TRIM($C46), TRIM(ASSET!$A:$A), 0)),IF(ISNUMBER(SEARCH("-", _xlpm.result)), 0, _xlpm.result))</f>
        <v>5346900</v>
      </c>
      <c r="AF46" s="66">
        <f>group_data_final[[#This Row],[ค่าบำรุงจุดกางเต็นท์]]/300000</f>
        <v>0</v>
      </c>
      <c r="AG46" s="1" cm="1">
        <f t="array" ref="AG46">_xlfn.LET(_xlpm.result,INDEX(ราคาค่าบำรุง!D:D, MATCH(TRIM($C46), TRIM(ราคาค่าบำรุง!$A:$A), 0)),IF(ISNUMBER(SEARCH("-", _xlpm.result)), 0, _xlpm.result))</f>
        <v>0</v>
      </c>
      <c r="AH46" s="66">
        <f>group_data_final[[#This Row],[ค่าบำรุงจุดพักรถ]]/300000</f>
        <v>0</v>
      </c>
      <c r="AI46" s="1" cm="1">
        <f t="array" ref="AI46">_xlfn.LET(_xlpm.result,INDEX(ราคาค่าบำรุง!F:F, MATCH(TRIM($C46), TRIM(ราคาค่าบำรุง!$A:$A), 0)),IF(ISNUMBER(SEARCH("-", _xlpm.result)), 0, _xlpm.result))</f>
        <v>0</v>
      </c>
      <c r="AJ46" s="66">
        <f>group_data_final[[#This Row],[ค่าบำรุงภูมิสถาปัตย์]]/300000</f>
        <v>0</v>
      </c>
      <c r="AK46" s="1" cm="1">
        <f t="array" ref="AK46">_xlfn.LET(_xlpm.result,INDEX(ราคาค่าบำรุง!H:H, MATCH(TRIM($C46), TRIM(ราคาค่าบำรุง!$A:$A), 0)),IF(ISNUMBER(SEARCH("-", _xlpm.result)), 0, _xlpm.result))</f>
        <v>0</v>
      </c>
      <c r="AL46">
        <f t="shared" si="1"/>
        <v>0</v>
      </c>
      <c r="AM46">
        <f>_xlfn.XLOOKUP(group_data_final[[#This Row],[depot_code]],C:C,แผน68!D:D)</f>
        <v>13052440.210000001</v>
      </c>
      <c r="AN46">
        <v>4937</v>
      </c>
    </row>
    <row r="47" spans="1:40">
      <c r="A47" t="s">
        <v>87</v>
      </c>
      <c r="B47" t="s">
        <v>90</v>
      </c>
      <c r="C47" s="39">
        <v>445</v>
      </c>
      <c r="D47" cm="1">
        <f t="array" ref="D47">_xlfn.LET(_xlpm.result,INDEX(ระยะทาง!C:C, MATCH(TRIM(C47), TRIM(ระยะทาง!$A:$A), 0)),IF(ISNUMBER(SEARCH("-", _xlpm.result)), 0, _xlpm.result))</f>
        <v>1050.7570000000001</v>
      </c>
      <c r="E47" cm="1">
        <f t="array" ref="E47">_xlfn.LET(_xlpm.result,INDEX(ระยะทาง!D:D, MATCH(TRIM($C47), TRIM(ระยะทาง!$A:$A), 0)),IF(ISNUMBER(SEARCH("-", _xlpm.result)), 0, _xlpm.result))</f>
        <v>2538519856</v>
      </c>
      <c r="F47">
        <v>173734142</v>
      </c>
      <c r="G47">
        <v>2.8629411764705885</v>
      </c>
      <c r="H47">
        <v>316.39400000000001</v>
      </c>
      <c r="I47">
        <v>2</v>
      </c>
      <c r="J47">
        <v>8</v>
      </c>
      <c r="K47">
        <v>2.8333333333333335</v>
      </c>
      <c r="L47">
        <v>3.5</v>
      </c>
      <c r="M47">
        <v>5.7889999999999997</v>
      </c>
      <c r="N47">
        <v>218.39699999999999</v>
      </c>
      <c r="O47">
        <v>2</v>
      </c>
      <c r="P47">
        <v>8</v>
      </c>
      <c r="Q47">
        <v>5</v>
      </c>
      <c r="R47">
        <v>3.4911249999999998</v>
      </c>
      <c r="S47">
        <v>6.1448749999999999</v>
      </c>
      <c r="T47">
        <v>9534</v>
      </c>
      <c r="U47">
        <v>0</v>
      </c>
      <c r="V47">
        <v>274387.97999999963</v>
      </c>
      <c r="W47">
        <v>44429.599999999999</v>
      </c>
      <c r="X47">
        <v>245895.27999999997</v>
      </c>
      <c r="Y47">
        <v>158426</v>
      </c>
      <c r="Z47">
        <v>43.315949872071158</v>
      </c>
      <c r="AA47">
        <v>398.96386323149306</v>
      </c>
      <c r="AB47">
        <v>5.2667250567886063E-2</v>
      </c>
      <c r="AC47">
        <v>5.5761167550590498</v>
      </c>
      <c r="AD47">
        <f>D47*'ราคาต้นทุน (Asset)'!$E$1</f>
        <v>63045420</v>
      </c>
      <c r="AE47" s="1" cm="1">
        <f t="array" ref="AE47">_xlfn.LET(_xlpm.result,INDEX(ASSET!U:U, MATCH(TRIM($C47), TRIM(ASSET!$A:$A), 0)),IF(ISNUMBER(SEARCH("-", _xlpm.result)), 0, _xlpm.result))</f>
        <v>5431300</v>
      </c>
      <c r="AF47" s="66">
        <f>group_data_final[[#This Row],[ค่าบำรุงจุดกางเต็นท์]]/300000</f>
        <v>0</v>
      </c>
      <c r="AG47" s="1" cm="1">
        <f t="array" ref="AG47">_xlfn.LET(_xlpm.result,INDEX(ราคาค่าบำรุง!D:D, MATCH(TRIM($C47), TRIM(ราคาค่าบำรุง!$A:$A), 0)),IF(ISNUMBER(SEARCH("-", _xlpm.result)), 0, _xlpm.result))</f>
        <v>0</v>
      </c>
      <c r="AH47" s="66">
        <f>group_data_final[[#This Row],[ค่าบำรุงจุดพักรถ]]/300000</f>
        <v>3</v>
      </c>
      <c r="AI47" s="1" cm="1">
        <f t="array" ref="AI47">_xlfn.LET(_xlpm.result,INDEX(ราคาค่าบำรุง!F:F, MATCH(TRIM($C47), TRIM(ราคาค่าบำรุง!$A:$A), 0)),IF(ISNUMBER(SEARCH("-", _xlpm.result)), 0, _xlpm.result))</f>
        <v>900000</v>
      </c>
      <c r="AJ47" s="66">
        <f>group_data_final[[#This Row],[ค่าบำรุงภูมิสถาปัตย์]]/300000</f>
        <v>1</v>
      </c>
      <c r="AK47" s="1" cm="1">
        <f t="array" ref="AK47">_xlfn.LET(_xlpm.result,INDEX(ราคาค่าบำรุง!H:H, MATCH(TRIM($C47), TRIM(ราคาค่าบำรุง!$A:$A), 0)),IF(ISNUMBER(SEARCH("-", _xlpm.result)), 0, _xlpm.result))</f>
        <v>300000</v>
      </c>
      <c r="AL47">
        <f t="shared" si="1"/>
        <v>0</v>
      </c>
      <c r="AM47">
        <f>_xlfn.XLOOKUP(group_data_final[[#This Row],[depot_code]],C:C,แผน68!D:D)</f>
        <v>22849661</v>
      </c>
      <c r="AN47">
        <v>5370.5</v>
      </c>
    </row>
    <row r="48" spans="1:40">
      <c r="A48" t="s">
        <v>87</v>
      </c>
      <c r="B48" t="s">
        <v>91</v>
      </c>
      <c r="C48" s="39">
        <v>446</v>
      </c>
      <c r="D48" cm="1">
        <f t="array" ref="D48">_xlfn.LET(_xlpm.result,INDEX(ระยะทาง!C:C, MATCH(TRIM(C48), TRIM(ระยะทาง!$A:$A), 0)),IF(ISNUMBER(SEARCH("-", _xlpm.result)), 0, _xlpm.result))</f>
        <v>674.495</v>
      </c>
      <c r="E48" cm="1">
        <f t="array" ref="E48">_xlfn.LET(_xlpm.result,INDEX(ระยะทาง!D:D, MATCH(TRIM($C48), TRIM(ระยะทาง!$A:$A), 0)),IF(ISNUMBER(SEARCH("-", _xlpm.result)), 0, _xlpm.result))</f>
        <v>2737266415</v>
      </c>
      <c r="F48">
        <v>468056912</v>
      </c>
      <c r="G48">
        <v>2.4601250000000001</v>
      </c>
      <c r="H48">
        <v>349.57600000000002</v>
      </c>
      <c r="I48">
        <v>1</v>
      </c>
      <c r="J48">
        <v>8</v>
      </c>
      <c r="K48">
        <v>3.2857142857142856</v>
      </c>
      <c r="L48">
        <v>3.5</v>
      </c>
      <c r="M48">
        <v>6</v>
      </c>
      <c r="N48">
        <v>115.643</v>
      </c>
      <c r="O48">
        <v>1</v>
      </c>
      <c r="P48">
        <v>8</v>
      </c>
      <c r="Q48">
        <v>4.25</v>
      </c>
      <c r="R48">
        <v>3.5</v>
      </c>
      <c r="S48">
        <v>6</v>
      </c>
      <c r="T48">
        <v>0</v>
      </c>
      <c r="U48">
        <v>0</v>
      </c>
      <c r="V48">
        <v>45718.5</v>
      </c>
      <c r="W48">
        <v>0</v>
      </c>
      <c r="X48">
        <v>11510.93</v>
      </c>
      <c r="Y48">
        <v>28104.397000000001</v>
      </c>
      <c r="Z48">
        <v>20.70210290987421</v>
      </c>
      <c r="AA48">
        <v>39.284550234315631</v>
      </c>
      <c r="AB48">
        <v>-0.32491098929638818</v>
      </c>
      <c r="AC48">
        <v>18.222994948279645</v>
      </c>
      <c r="AD48">
        <f>D48*'ราคาต้นทุน (Asset)'!$E$1</f>
        <v>40469700</v>
      </c>
      <c r="AE48" s="1" cm="1">
        <f t="array" ref="AE48">_xlfn.LET(_xlpm.result,INDEX(ASSET!U:U, MATCH(TRIM($C48), TRIM(ASSET!$A:$A), 0)),IF(ISNUMBER(SEARCH("-", _xlpm.result)), 0, _xlpm.result))</f>
        <v>3736400</v>
      </c>
      <c r="AF48" s="66">
        <f>group_data_final[[#This Row],[ค่าบำรุงจุดกางเต็นท์]]/300000</f>
        <v>0</v>
      </c>
      <c r="AG48" s="1" cm="1">
        <f t="array" ref="AG48">_xlfn.LET(_xlpm.result,INDEX(ราคาค่าบำรุง!D:D, MATCH(TRIM($C48), TRIM(ราคาค่าบำรุง!$A:$A), 0)),IF(ISNUMBER(SEARCH("-", _xlpm.result)), 0, _xlpm.result))</f>
        <v>0</v>
      </c>
      <c r="AH48" s="66">
        <f>group_data_final[[#This Row],[ค่าบำรุงจุดพักรถ]]/300000</f>
        <v>5</v>
      </c>
      <c r="AI48" s="1" cm="1">
        <f t="array" ref="AI48">_xlfn.LET(_xlpm.result,INDEX(ราคาค่าบำรุง!F:F, MATCH(TRIM($C48), TRIM(ราคาค่าบำรุง!$A:$A), 0)),IF(ISNUMBER(SEARCH("-", _xlpm.result)), 0, _xlpm.result))</f>
        <v>1500000</v>
      </c>
      <c r="AJ48" s="66">
        <f>group_data_final[[#This Row],[ค่าบำรุงภูมิสถาปัตย์]]/300000</f>
        <v>1</v>
      </c>
      <c r="AK48" s="1" cm="1">
        <f t="array" ref="AK48">_xlfn.LET(_xlpm.result,INDEX(ราคาค่าบำรุง!H:H, MATCH(TRIM($C48), TRIM(ราคาค่าบำรุง!$A:$A), 0)),IF(ISNUMBER(SEARCH("-", _xlpm.result)), 0, _xlpm.result))</f>
        <v>300000</v>
      </c>
      <c r="AL48">
        <f t="shared" si="1"/>
        <v>0</v>
      </c>
      <c r="AM48">
        <f>_xlfn.XLOOKUP(group_data_final[[#This Row],[depot_code]],C:C,แผน68!D:D)</f>
        <v>25981167</v>
      </c>
      <c r="AN48">
        <v>5696</v>
      </c>
    </row>
    <row r="49" spans="1:40">
      <c r="A49" t="s">
        <v>87</v>
      </c>
      <c r="B49" t="s">
        <v>92</v>
      </c>
      <c r="C49" s="39">
        <v>447</v>
      </c>
      <c r="D49" cm="1">
        <f t="array" ref="D49">_xlfn.LET(_xlpm.result,INDEX(ระยะทาง!C:C, MATCH(TRIM(C49), TRIM(ระยะทาง!$A:$A), 0)),IF(ISNUMBER(SEARCH("-", _xlpm.result)), 0, _xlpm.result))</f>
        <v>547.51199999999994</v>
      </c>
      <c r="E49" cm="1">
        <f t="array" ref="E49">_xlfn.LET(_xlpm.result,INDEX(ระยะทาง!D:D, MATCH(TRIM($C49), TRIM(ระยะทาง!$A:$A), 0)),IF(ISNUMBER(SEARCH("-", _xlpm.result)), 0, _xlpm.result))</f>
        <v>3553393811</v>
      </c>
      <c r="F49">
        <v>142974114</v>
      </c>
      <c r="G49">
        <v>2.213111111111111</v>
      </c>
      <c r="H49">
        <v>229.20599999999999</v>
      </c>
      <c r="I49">
        <v>2</v>
      </c>
      <c r="J49">
        <v>6</v>
      </c>
      <c r="K49">
        <v>2.7777777777777777</v>
      </c>
      <c r="L49">
        <v>3.5</v>
      </c>
      <c r="M49">
        <v>5</v>
      </c>
      <c r="N49">
        <v>6.2349999999999994</v>
      </c>
      <c r="O49">
        <v>2</v>
      </c>
      <c r="P49">
        <v>2</v>
      </c>
      <c r="Q49">
        <v>2</v>
      </c>
      <c r="R49">
        <v>3.5</v>
      </c>
      <c r="S49">
        <v>5</v>
      </c>
      <c r="T49">
        <v>8820.5</v>
      </c>
      <c r="U49">
        <v>0</v>
      </c>
      <c r="V49">
        <v>68096.19</v>
      </c>
      <c r="W49">
        <v>0</v>
      </c>
      <c r="X49">
        <v>139880.72700000001</v>
      </c>
      <c r="Y49">
        <v>63287</v>
      </c>
      <c r="Z49">
        <v>78.024280784785162</v>
      </c>
      <c r="AA49">
        <v>1589.6901517157901</v>
      </c>
      <c r="AB49">
        <v>0.12225137272145224</v>
      </c>
      <c r="AC49">
        <v>9.2011558057804361</v>
      </c>
      <c r="AD49">
        <f>D49*'ราคาต้นทุน (Asset)'!$E$1</f>
        <v>32850719.999999996</v>
      </c>
      <c r="AE49" s="1" cm="1">
        <f t="array" ref="AE49">_xlfn.LET(_xlpm.result,INDEX(ASSET!U:U, MATCH(TRIM($C49), TRIM(ASSET!$A:$A), 0)),IF(ISNUMBER(SEARCH("-", _xlpm.result)), 0, _xlpm.result))</f>
        <v>3984800</v>
      </c>
      <c r="AF49" s="66">
        <f>group_data_final[[#This Row],[ค่าบำรุงจุดกางเต็นท์]]/300000</f>
        <v>1</v>
      </c>
      <c r="AG49" s="1" cm="1">
        <f t="array" ref="AG49">_xlfn.LET(_xlpm.result,INDEX(ราคาค่าบำรุง!D:D, MATCH(TRIM($C49), TRIM(ราคาค่าบำรุง!$A:$A), 0)),IF(ISNUMBER(SEARCH("-", _xlpm.result)), 0, _xlpm.result))</f>
        <v>300000</v>
      </c>
      <c r="AH49" s="66">
        <f>group_data_final[[#This Row],[ค่าบำรุงจุดพักรถ]]/300000</f>
        <v>1</v>
      </c>
      <c r="AI49" s="1" cm="1">
        <f t="array" ref="AI49">_xlfn.LET(_xlpm.result,INDEX(ราคาค่าบำรุง!F:F, MATCH(TRIM($C49), TRIM(ราคาค่าบำรุง!$A:$A), 0)),IF(ISNUMBER(SEARCH("-", _xlpm.result)), 0, _xlpm.result))</f>
        <v>300000</v>
      </c>
      <c r="AJ49" s="66">
        <f>group_data_final[[#This Row],[ค่าบำรุงภูมิสถาปัตย์]]/300000</f>
        <v>0</v>
      </c>
      <c r="AK49" s="1" cm="1">
        <f t="array" ref="AK49">_xlfn.LET(_xlpm.result,INDEX(ราคาค่าบำรุง!H:H, MATCH(TRIM($C49), TRIM(ราคาค่าบำรุง!$A:$A), 0)),IF(ISNUMBER(SEARCH("-", _xlpm.result)), 0, _xlpm.result))</f>
        <v>0</v>
      </c>
      <c r="AL49">
        <f t="shared" si="1"/>
        <v>0</v>
      </c>
      <c r="AM49">
        <f>_xlfn.XLOOKUP(group_data_final[[#This Row],[depot_code]],C:C,แผน68!D:D)</f>
        <v>8096662</v>
      </c>
      <c r="AN49">
        <v>3668.85</v>
      </c>
    </row>
    <row r="50" spans="1:40">
      <c r="A50" t="s">
        <v>87</v>
      </c>
      <c r="B50" t="s">
        <v>93</v>
      </c>
      <c r="C50" s="39">
        <v>448</v>
      </c>
      <c r="D50" cm="1">
        <f t="array" ref="D50">_xlfn.LET(_xlpm.result,INDEX(ระยะทาง!C:C, MATCH(TRIM(C50), TRIM(ระยะทาง!$A:$A), 0)),IF(ISNUMBER(SEARCH("-", _xlpm.result)), 0, _xlpm.result))</f>
        <v>603.35799999999995</v>
      </c>
      <c r="E50" cm="1">
        <f t="array" ref="E50">_xlfn.LET(_xlpm.result,INDEX(ระยะทาง!D:D, MATCH(TRIM($C50), TRIM(ระยะทาง!$A:$A), 0)),IF(ISNUMBER(SEARCH("-", _xlpm.result)), 0, _xlpm.result))</f>
        <v>2119827796</v>
      </c>
      <c r="F50">
        <v>98247609</v>
      </c>
      <c r="G50">
        <v>2.5053000000000001</v>
      </c>
      <c r="H50">
        <v>273.01299999999998</v>
      </c>
      <c r="I50">
        <v>1</v>
      </c>
      <c r="J50">
        <v>8</v>
      </c>
      <c r="K50">
        <v>4</v>
      </c>
      <c r="L50">
        <v>3.5</v>
      </c>
      <c r="M50">
        <v>5.3339999999999996</v>
      </c>
      <c r="N50">
        <v>44.847999999999999</v>
      </c>
      <c r="O50">
        <v>1</v>
      </c>
      <c r="P50">
        <v>6</v>
      </c>
      <c r="Q50">
        <v>2.7142857142857144</v>
      </c>
      <c r="R50">
        <v>3.5</v>
      </c>
      <c r="S50">
        <v>4.8886666666666665</v>
      </c>
      <c r="T50">
        <v>0</v>
      </c>
      <c r="U50">
        <v>0</v>
      </c>
      <c r="V50">
        <v>88127.74</v>
      </c>
      <c r="W50">
        <v>28333.4</v>
      </c>
      <c r="X50">
        <v>78102.835000000006</v>
      </c>
      <c r="Y50">
        <v>53772</v>
      </c>
      <c r="Z50">
        <v>16.946733347391859</v>
      </c>
      <c r="AA50">
        <v>1.595868231075821</v>
      </c>
      <c r="AB50">
        <v>2.1181655750604472E-2</v>
      </c>
      <c r="AC50">
        <v>6.0589230706785919</v>
      </c>
      <c r="AD50">
        <f>D50*'ราคาต้นทุน (Asset)'!$E$1</f>
        <v>36201480</v>
      </c>
      <c r="AE50" s="1" cm="1">
        <f t="array" ref="AE50">_xlfn.LET(_xlpm.result,INDEX(ASSET!U:U, MATCH(TRIM($C50), TRIM(ASSET!$A:$A), 0)),IF(ISNUMBER(SEARCH("-", _xlpm.result)), 0, _xlpm.result))</f>
        <v>4279900</v>
      </c>
      <c r="AF50" s="66">
        <f>group_data_final[[#This Row],[ค่าบำรุงจุดกางเต็นท์]]/300000</f>
        <v>0</v>
      </c>
      <c r="AG50" s="1" cm="1">
        <f t="array" ref="AG50">_xlfn.LET(_xlpm.result,INDEX(ราคาค่าบำรุง!D:D, MATCH(TRIM($C50), TRIM(ราคาค่าบำรุง!$A:$A), 0)),IF(ISNUMBER(SEARCH("-", _xlpm.result)), 0, _xlpm.result))</f>
        <v>0</v>
      </c>
      <c r="AH50" s="66">
        <f>group_data_final[[#This Row],[ค่าบำรุงจุดพักรถ]]/300000</f>
        <v>1</v>
      </c>
      <c r="AI50" s="1" cm="1">
        <f t="array" ref="AI50">_xlfn.LET(_xlpm.result,INDEX(ราคาค่าบำรุง!F:F, MATCH(TRIM($C50), TRIM(ราคาค่าบำรุง!$A:$A), 0)),IF(ISNUMBER(SEARCH("-", _xlpm.result)), 0, _xlpm.result))</f>
        <v>300000</v>
      </c>
      <c r="AJ50" s="66">
        <f>group_data_final[[#This Row],[ค่าบำรุงภูมิสถาปัตย์]]/300000</f>
        <v>0</v>
      </c>
      <c r="AK50" s="1" cm="1">
        <f t="array" ref="AK50">_xlfn.LET(_xlpm.result,INDEX(ราคาค่าบำรุง!H:H, MATCH(TRIM($C50), TRIM(ราคาค่าบำรุง!$A:$A), 0)),IF(ISNUMBER(SEARCH("-", _xlpm.result)), 0, _xlpm.result))</f>
        <v>0</v>
      </c>
      <c r="AL50">
        <f t="shared" si="1"/>
        <v>0</v>
      </c>
      <c r="AM50">
        <f>_xlfn.XLOOKUP(group_data_final[[#This Row],[depot_code]],C:C,แผน68!D:D)</f>
        <v>21647068.02</v>
      </c>
      <c r="AN50">
        <v>11842</v>
      </c>
    </row>
    <row r="51" spans="1:40">
      <c r="A51" t="s">
        <v>94</v>
      </c>
      <c r="B51" t="s">
        <v>95</v>
      </c>
      <c r="C51" s="39">
        <v>511</v>
      </c>
      <c r="D51" cm="1">
        <f t="array" ref="D51">_xlfn.LET(_xlpm.result,INDEX(ระยะทาง!C:C, MATCH(TRIM(C51), TRIM(ระยะทาง!$A:$A), 0)),IF(ISNUMBER(SEARCH("-", _xlpm.result)), 0, _xlpm.result))</f>
        <v>774.96500000000003</v>
      </c>
      <c r="E51" cm="1">
        <f t="array" ref="E51">_xlfn.LET(_xlpm.result,INDEX(ระยะทาง!D:D, MATCH(TRIM($C51), TRIM(ระยะทาง!$A:$A), 0)),IF(ISNUMBER(SEARCH("-", _xlpm.result)), 0, _xlpm.result))</f>
        <v>3660425293</v>
      </c>
      <c r="F51">
        <v>485536904</v>
      </c>
      <c r="G51">
        <v>2.5750000000000002</v>
      </c>
      <c r="H51">
        <v>269.08799999999997</v>
      </c>
      <c r="I51">
        <v>2</v>
      </c>
      <c r="J51">
        <v>9</v>
      </c>
      <c r="K51">
        <v>3.8181818181818183</v>
      </c>
      <c r="L51">
        <v>3.5209999999999999</v>
      </c>
      <c r="M51">
        <v>5</v>
      </c>
      <c r="N51">
        <v>161.83799999999999</v>
      </c>
      <c r="O51">
        <v>2</v>
      </c>
      <c r="P51">
        <v>12</v>
      </c>
      <c r="Q51">
        <v>5.0999999999999996</v>
      </c>
      <c r="R51">
        <v>3.7222222222222223</v>
      </c>
      <c r="S51">
        <v>4.9444444444444446</v>
      </c>
      <c r="T51">
        <v>0</v>
      </c>
      <c r="U51">
        <v>0</v>
      </c>
      <c r="V51">
        <v>81651.16</v>
      </c>
      <c r="W51">
        <v>49183</v>
      </c>
      <c r="X51">
        <v>107649</v>
      </c>
      <c r="Y51">
        <v>98314</v>
      </c>
      <c r="Z51">
        <v>51.50952059811884</v>
      </c>
      <c r="AA51">
        <v>3.9940666782119467</v>
      </c>
      <c r="AB51">
        <v>1.1303955848781936E-2</v>
      </c>
      <c r="AC51">
        <v>8.6521437110351158</v>
      </c>
      <c r="AD51">
        <f>D51*'ราคาต้นทุน (Asset)'!$E$1</f>
        <v>46497900</v>
      </c>
      <c r="AE51" s="1" cm="1">
        <f t="array" ref="AE51">_xlfn.LET(_xlpm.result,INDEX(ASSET!U:U, MATCH(TRIM($C51), TRIM(ASSET!$A:$A), 0)),IF(ISNUMBER(SEARCH("-", _xlpm.result)), 0, _xlpm.result))</f>
        <v>4008600</v>
      </c>
      <c r="AF51" s="66">
        <f>group_data_final[[#This Row],[ค่าบำรุงจุดกางเต็นท์]]/300000</f>
        <v>0</v>
      </c>
      <c r="AG51" s="1" cm="1">
        <f t="array" ref="AG51">_xlfn.LET(_xlpm.result,INDEX(ราคาค่าบำรุง!D:D, MATCH(TRIM($C51), TRIM(ราคาค่าบำรุง!$A:$A), 0)),IF(ISNUMBER(SEARCH("-", _xlpm.result)), 0, _xlpm.result))</f>
        <v>0</v>
      </c>
      <c r="AH51" s="66">
        <f>group_data_final[[#This Row],[ค่าบำรุงจุดพักรถ]]/300000</f>
        <v>2</v>
      </c>
      <c r="AI51" s="1" cm="1">
        <f t="array" ref="AI51">_xlfn.LET(_xlpm.result,INDEX(ราคาค่าบำรุง!F:F, MATCH(TRIM($C51), TRIM(ราคาค่าบำรุง!$A:$A), 0)),IF(ISNUMBER(SEARCH("-", _xlpm.result)), 0, _xlpm.result))</f>
        <v>600000</v>
      </c>
      <c r="AJ51" s="66">
        <f>group_data_final[[#This Row],[ค่าบำรุงภูมิสถาปัตย์]]/300000</f>
        <v>1</v>
      </c>
      <c r="AK51" s="1" cm="1">
        <f t="array" ref="AK51">_xlfn.LET(_xlpm.result,INDEX(ราคาค่าบำรุง!H:H, MATCH(TRIM($C51), TRIM(ราคาค่าบำรุง!$A:$A), 0)),IF(ISNUMBER(SEARCH("-", _xlpm.result)), 0, _xlpm.result))</f>
        <v>300000</v>
      </c>
      <c r="AL51">
        <f t="shared" si="1"/>
        <v>0</v>
      </c>
      <c r="AM51">
        <f>_xlfn.XLOOKUP(group_data_final[[#This Row],[depot_code]],C:C,แผน68!D:D)</f>
        <v>25873713.629999999</v>
      </c>
      <c r="AN51">
        <v>10628</v>
      </c>
    </row>
    <row r="52" spans="1:40">
      <c r="A52" t="s">
        <v>96</v>
      </c>
      <c r="B52" t="s">
        <v>97</v>
      </c>
      <c r="C52" s="39">
        <v>512</v>
      </c>
      <c r="D52" cm="1">
        <f t="array" ref="D52">_xlfn.LET(_xlpm.result,INDEX(ระยะทาง!C:C, MATCH(TRIM(C52), TRIM(ระยะทาง!$A:$A), 0)),IF(ISNUMBER(SEARCH("-", _xlpm.result)), 0, _xlpm.result))</f>
        <v>830.79600000000005</v>
      </c>
      <c r="E52" cm="1">
        <f t="array" ref="E52">_xlfn.LET(_xlpm.result,INDEX(ระยะทาง!D:D, MATCH(TRIM($C52), TRIM(ระยะทาง!$A:$A), 0)),IF(ISNUMBER(SEARCH("-", _xlpm.result)), 0, _xlpm.result))</f>
        <v>3785552665</v>
      </c>
      <c r="F52">
        <v>497662074</v>
      </c>
      <c r="G52">
        <v>2.2748749999999998</v>
      </c>
      <c r="H52">
        <v>408.99400000000003</v>
      </c>
      <c r="I52">
        <v>1</v>
      </c>
      <c r="J52">
        <v>6</v>
      </c>
      <c r="K52">
        <v>3.375</v>
      </c>
      <c r="L52">
        <v>3.5</v>
      </c>
      <c r="M52">
        <v>5.125</v>
      </c>
      <c r="N52">
        <v>77.277000000000001</v>
      </c>
      <c r="O52">
        <v>1</v>
      </c>
      <c r="P52">
        <v>10</v>
      </c>
      <c r="Q52">
        <v>4.125</v>
      </c>
      <c r="R52">
        <v>3.484375</v>
      </c>
      <c r="S52">
        <v>4.523714285714286</v>
      </c>
      <c r="T52">
        <v>113122</v>
      </c>
      <c r="U52">
        <v>0</v>
      </c>
      <c r="V52">
        <v>111779.37999999999</v>
      </c>
      <c r="W52">
        <v>7249.65</v>
      </c>
      <c r="X52">
        <v>108478.69200000001</v>
      </c>
      <c r="Y52">
        <v>109152.31</v>
      </c>
      <c r="Z52">
        <v>155.24332665445871</v>
      </c>
      <c r="AA52">
        <v>6284.2440737001871</v>
      </c>
      <c r="AB52">
        <v>-0.12139381995240502</v>
      </c>
      <c r="AC52">
        <v>23.870553186780246</v>
      </c>
      <c r="AD52">
        <f>D52*'ราคาต้นทุน (Asset)'!$E$1</f>
        <v>49847760</v>
      </c>
      <c r="AE52" s="1" cm="1">
        <f t="array" ref="AE52">_xlfn.LET(_xlpm.result,INDEX(ASSET!U:U, MATCH(TRIM($C52), TRIM(ASSET!$A:$A), 0)),IF(ISNUMBER(SEARCH("-", _xlpm.result)), 0, _xlpm.result))</f>
        <v>3497300</v>
      </c>
      <c r="AF52" s="66">
        <f>group_data_final[[#This Row],[ค่าบำรุงจุดกางเต็นท์]]/300000</f>
        <v>0</v>
      </c>
      <c r="AG52" s="1" cm="1">
        <f t="array" ref="AG52">_xlfn.LET(_xlpm.result,INDEX(ราคาค่าบำรุง!D:D, MATCH(TRIM($C52), TRIM(ราคาค่าบำรุง!$A:$A), 0)),IF(ISNUMBER(SEARCH("-", _xlpm.result)), 0, _xlpm.result))</f>
        <v>0</v>
      </c>
      <c r="AH52" s="66">
        <f>group_data_final[[#This Row],[ค่าบำรุงจุดพักรถ]]/300000</f>
        <v>0</v>
      </c>
      <c r="AI52" s="1" cm="1">
        <f t="array" ref="AI52">_xlfn.LET(_xlpm.result,INDEX(ราคาค่าบำรุง!F:F, MATCH(TRIM($C52), TRIM(ราคาค่าบำรุง!$A:$A), 0)),IF(ISNUMBER(SEARCH("-", _xlpm.result)), 0, _xlpm.result))</f>
        <v>0</v>
      </c>
      <c r="AJ52" s="66">
        <f>group_data_final[[#This Row],[ค่าบำรุงภูมิสถาปัตย์]]/300000</f>
        <v>2</v>
      </c>
      <c r="AK52" s="1" cm="1">
        <f t="array" ref="AK52">_xlfn.LET(_xlpm.result,INDEX(ราคาค่าบำรุง!H:H, MATCH(TRIM($C52), TRIM(ราคาค่าบำรุง!$A:$A), 0)),IF(ISNUMBER(SEARCH("-", _xlpm.result)), 0, _xlpm.result))</f>
        <v>600000</v>
      </c>
      <c r="AL52">
        <f t="shared" si="1"/>
        <v>0</v>
      </c>
      <c r="AM52">
        <f>_xlfn.XLOOKUP(group_data_final[[#This Row],[depot_code]],C:C,แผน68!D:D)</f>
        <v>16304171.380000001</v>
      </c>
      <c r="AN52">
        <v>8321.6</v>
      </c>
    </row>
    <row r="53" spans="1:40">
      <c r="A53" t="s">
        <v>96</v>
      </c>
      <c r="B53" t="s">
        <v>98</v>
      </c>
      <c r="C53" s="39">
        <v>513</v>
      </c>
      <c r="D53" cm="1">
        <f t="array" ref="D53">_xlfn.LET(_xlpm.result,INDEX(ระยะทาง!C:C, MATCH(TRIM(C53), TRIM(ระยะทาง!$A:$A), 0)),IF(ISNUMBER(SEARCH("-", _xlpm.result)), 0, _xlpm.result))</f>
        <v>1003.095</v>
      </c>
      <c r="E53" cm="1">
        <f t="array" ref="E53">_xlfn.LET(_xlpm.result,INDEX(ระยะทาง!D:D, MATCH(TRIM($C53), TRIM(ระยะทาง!$A:$A), 0)),IF(ISNUMBER(SEARCH("-", _xlpm.result)), 0, _xlpm.result))</f>
        <v>2777199411</v>
      </c>
      <c r="F53">
        <v>1957249007</v>
      </c>
      <c r="G53">
        <v>2.236181818181818</v>
      </c>
      <c r="H53">
        <v>439.81</v>
      </c>
      <c r="I53">
        <v>2</v>
      </c>
      <c r="J53">
        <v>8</v>
      </c>
      <c r="K53">
        <v>3.1363636363636362</v>
      </c>
      <c r="L53">
        <v>5.5</v>
      </c>
      <c r="M53">
        <v>4.5</v>
      </c>
      <c r="N53">
        <v>40.082999999999998</v>
      </c>
      <c r="O53">
        <v>2</v>
      </c>
      <c r="P53">
        <v>6</v>
      </c>
      <c r="Q53">
        <v>3.9333333333333331</v>
      </c>
      <c r="R53">
        <v>3.75</v>
      </c>
      <c r="S53">
        <v>3.3333333333333335</v>
      </c>
      <c r="T53">
        <v>43981.764999999999</v>
      </c>
      <c r="U53">
        <v>0</v>
      </c>
      <c r="V53">
        <v>135318.85</v>
      </c>
      <c r="W53">
        <v>11196</v>
      </c>
      <c r="X53">
        <v>138918.90500000003</v>
      </c>
      <c r="Y53">
        <v>92308</v>
      </c>
      <c r="Z53">
        <v>64.285024118160848</v>
      </c>
      <c r="AA53">
        <v>157.79238910350071</v>
      </c>
      <c r="AB53">
        <v>8.0523110413884671E-2</v>
      </c>
      <c r="AC53">
        <v>9.3810120650756588</v>
      </c>
      <c r="AD53">
        <f>D53*'ราคาต้นทุน (Asset)'!$E$1</f>
        <v>60185700</v>
      </c>
      <c r="AE53" s="1" cm="1">
        <f t="array" ref="AE53">_xlfn.LET(_xlpm.result,INDEX(ASSET!U:U, MATCH(TRIM($C53), TRIM(ASSET!$A:$A), 0)),IF(ISNUMBER(SEARCH("-", _xlpm.result)), 0, _xlpm.result))</f>
        <v>4439800</v>
      </c>
      <c r="AF53" s="66">
        <f>group_data_final[[#This Row],[ค่าบำรุงจุดกางเต็นท์]]/300000</f>
        <v>0</v>
      </c>
      <c r="AG53" s="1" cm="1">
        <f t="array" ref="AG53">_xlfn.LET(_xlpm.result,INDEX(ราคาค่าบำรุง!D:D, MATCH(TRIM($C53), TRIM(ราคาค่าบำรุง!$A:$A), 0)),IF(ISNUMBER(SEARCH("-", _xlpm.result)), 0, _xlpm.result))</f>
        <v>0</v>
      </c>
      <c r="AH53" s="66">
        <f>group_data_final[[#This Row],[ค่าบำรุงจุดพักรถ]]/300000</f>
        <v>0</v>
      </c>
      <c r="AI53" s="1" cm="1">
        <f t="array" ref="AI53">_xlfn.LET(_xlpm.result,INDEX(ราคาค่าบำรุง!F:F, MATCH(TRIM($C53), TRIM(ราคาค่าบำรุง!$A:$A), 0)),IF(ISNUMBER(SEARCH("-", _xlpm.result)), 0, _xlpm.result))</f>
        <v>0</v>
      </c>
      <c r="AJ53" s="66">
        <f>group_data_final[[#This Row],[ค่าบำรุงภูมิสถาปัตย์]]/300000</f>
        <v>1</v>
      </c>
      <c r="AK53" s="1" cm="1">
        <f t="array" ref="AK53">_xlfn.LET(_xlpm.result,INDEX(ราคาค่าบำรุง!H:H, MATCH(TRIM($C53), TRIM(ราคาค่าบำรุง!$A:$A), 0)),IF(ISNUMBER(SEARCH("-", _xlpm.result)), 0, _xlpm.result))</f>
        <v>300000</v>
      </c>
      <c r="AL53">
        <f t="shared" si="1"/>
        <v>0</v>
      </c>
      <c r="AM53">
        <f>_xlfn.XLOOKUP(group_data_final[[#This Row],[depot_code]],C:C,แผน68!D:D)</f>
        <v>21915969</v>
      </c>
      <c r="AN53">
        <v>8524.9</v>
      </c>
    </row>
    <row r="54" spans="1:40">
      <c r="A54" t="s">
        <v>96</v>
      </c>
      <c r="B54" t="s">
        <v>99</v>
      </c>
      <c r="C54" s="39">
        <v>514</v>
      </c>
      <c r="D54" cm="1">
        <f t="array" ref="D54">_xlfn.LET(_xlpm.result,INDEX(ระยะทาง!C:C, MATCH(TRIM(C54), TRIM(ระยะทาง!$A:$A), 0)),IF(ISNUMBER(SEARCH("-", _xlpm.result)), 0, _xlpm.result))</f>
        <v>838.37300000000005</v>
      </c>
      <c r="E54" cm="1">
        <f t="array" ref="E54">_xlfn.LET(_xlpm.result,INDEX(ระยะทาง!D:D, MATCH(TRIM($C54), TRIM(ระยะทาง!$A:$A), 0)),IF(ISNUMBER(SEARCH("-", _xlpm.result)), 0, _xlpm.result))</f>
        <v>2605661339</v>
      </c>
      <c r="F54">
        <v>736824232</v>
      </c>
      <c r="G54">
        <v>3.202</v>
      </c>
      <c r="H54">
        <v>81.578000000000003</v>
      </c>
      <c r="I54">
        <v>1</v>
      </c>
      <c r="J54">
        <v>8</v>
      </c>
      <c r="K54">
        <v>5</v>
      </c>
      <c r="L54">
        <v>3.8519999999999999</v>
      </c>
      <c r="M54">
        <v>4.7619999999999996</v>
      </c>
      <c r="N54">
        <v>91.605999999999995</v>
      </c>
      <c r="O54">
        <v>1</v>
      </c>
      <c r="P54">
        <v>8</v>
      </c>
      <c r="Q54">
        <v>5</v>
      </c>
      <c r="R54">
        <v>3.51</v>
      </c>
      <c r="S54">
        <v>4.6780000000000008</v>
      </c>
      <c r="T54">
        <v>0</v>
      </c>
      <c r="U54">
        <v>0</v>
      </c>
      <c r="V54">
        <v>77041.960000000006</v>
      </c>
      <c r="W54">
        <v>3789.2</v>
      </c>
      <c r="X54">
        <v>156627.44350000005</v>
      </c>
      <c r="Y54">
        <v>111225.4</v>
      </c>
      <c r="Z54">
        <v>428.51503564570601</v>
      </c>
      <c r="AA54">
        <v>24283.938874577256</v>
      </c>
      <c r="AB54">
        <v>0.45715541281380762</v>
      </c>
      <c r="AC54">
        <v>79.180541104495759</v>
      </c>
      <c r="AD54">
        <f>D54*'ราคาต้นทุน (Asset)'!$E$1</f>
        <v>50302380</v>
      </c>
      <c r="AE54" s="1" cm="1">
        <f t="array" ref="AE54">_xlfn.LET(_xlpm.result,INDEX(ASSET!U:U, MATCH(TRIM($C54), TRIM(ASSET!$A:$A), 0)),IF(ISNUMBER(SEARCH("-", _xlpm.result)), 0, _xlpm.result))</f>
        <v>2529300</v>
      </c>
      <c r="AF54" s="66">
        <f>group_data_final[[#This Row],[ค่าบำรุงจุดกางเต็นท์]]/300000</f>
        <v>0</v>
      </c>
      <c r="AG54" s="1" cm="1">
        <f t="array" ref="AG54">_xlfn.LET(_xlpm.result,INDEX(ราคาค่าบำรุง!D:D, MATCH(TRIM($C54), TRIM(ราคาค่าบำรุง!$A:$A), 0)),IF(ISNUMBER(SEARCH("-", _xlpm.result)), 0, _xlpm.result))</f>
        <v>0</v>
      </c>
      <c r="AH54" s="66">
        <f>group_data_final[[#This Row],[ค่าบำรุงจุดพักรถ]]/300000</f>
        <v>0</v>
      </c>
      <c r="AI54" s="1" cm="1">
        <f t="array" ref="AI54">_xlfn.LET(_xlpm.result,INDEX(ราคาค่าบำรุง!F:F, MATCH(TRIM($C54), TRIM(ราคาค่าบำรุง!$A:$A), 0)),IF(ISNUMBER(SEARCH("-", _xlpm.result)), 0, _xlpm.result))</f>
        <v>0</v>
      </c>
      <c r="AJ54" s="66">
        <f>group_data_final[[#This Row],[ค่าบำรุงภูมิสถาปัตย์]]/300000</f>
        <v>2</v>
      </c>
      <c r="AK54" s="1" cm="1">
        <f t="array" ref="AK54">_xlfn.LET(_xlpm.result,INDEX(ราคาค่าบำรุง!H:H, MATCH(TRIM($C54), TRIM(ราคาค่าบำรุง!$A:$A), 0)),IF(ISNUMBER(SEARCH("-", _xlpm.result)), 0, _xlpm.result))</f>
        <v>600000</v>
      </c>
      <c r="AL54">
        <f t="shared" si="1"/>
        <v>0</v>
      </c>
      <c r="AM54">
        <f>_xlfn.XLOOKUP(group_data_final[[#This Row],[depot_code]],C:C,แผน68!D:D)</f>
        <v>25892491.800000001</v>
      </c>
      <c r="AN54">
        <v>6661</v>
      </c>
    </row>
    <row r="55" spans="1:40">
      <c r="A55" t="s">
        <v>94</v>
      </c>
      <c r="B55" t="s">
        <v>100</v>
      </c>
      <c r="C55" s="39">
        <v>515</v>
      </c>
      <c r="D55" cm="1">
        <f t="array" ref="D55">_xlfn.LET(_xlpm.result,INDEX(ระยะทาง!C:C, MATCH(TRIM(C55), TRIM(ระยะทาง!$A:$A), 0)),IF(ISNUMBER(SEARCH("-", _xlpm.result)), 0, _xlpm.result))</f>
        <v>826.49099999999999</v>
      </c>
      <c r="E55" cm="1">
        <f t="array" ref="E55">_xlfn.LET(_xlpm.result,INDEX(ระยะทาง!D:D, MATCH(TRIM($C55), TRIM(ระยะทาง!$A:$A), 0)),IF(ISNUMBER(SEARCH("-", _xlpm.result)), 0, _xlpm.result))</f>
        <v>3724488764</v>
      </c>
      <c r="F55">
        <v>1609632054</v>
      </c>
      <c r="G55">
        <v>2.6010833333333334</v>
      </c>
      <c r="H55">
        <v>439.64800000000002</v>
      </c>
      <c r="I55">
        <v>2</v>
      </c>
      <c r="J55">
        <v>10</v>
      </c>
      <c r="K55">
        <v>4.083333333333333</v>
      </c>
      <c r="L55">
        <v>3.5</v>
      </c>
      <c r="M55">
        <v>5</v>
      </c>
      <c r="N55">
        <v>48.909000000000006</v>
      </c>
      <c r="O55">
        <v>4</v>
      </c>
      <c r="P55">
        <v>12</v>
      </c>
      <c r="Q55">
        <v>6.666666666666667</v>
      </c>
      <c r="R55">
        <v>3.5</v>
      </c>
      <c r="S55">
        <v>5</v>
      </c>
      <c r="T55">
        <v>0</v>
      </c>
      <c r="U55">
        <v>0</v>
      </c>
      <c r="V55">
        <v>29761.18</v>
      </c>
      <c r="W55">
        <v>2365.6</v>
      </c>
      <c r="X55">
        <v>64848.968000000001</v>
      </c>
      <c r="Y55">
        <v>9433.5360000000001</v>
      </c>
      <c r="Z55">
        <v>226.28747784295263</v>
      </c>
      <c r="AA55">
        <v>15784.850413688247</v>
      </c>
      <c r="AB55">
        <v>-0.62134651175289302</v>
      </c>
      <c r="AC55">
        <v>22.608560222119948</v>
      </c>
      <c r="AD55">
        <f>D55*'ราคาต้นทุน (Asset)'!$E$1</f>
        <v>49589460</v>
      </c>
      <c r="AE55" s="1" cm="1">
        <f t="array" ref="AE55">_xlfn.LET(_xlpm.result,INDEX(ASSET!U:U, MATCH(TRIM($C55), TRIM(ASSET!$A:$A), 0)),IF(ISNUMBER(SEARCH("-", _xlpm.result)), 0, _xlpm.result))</f>
        <v>2828000</v>
      </c>
      <c r="AF55" s="66">
        <f>group_data_final[[#This Row],[ค่าบำรุงจุดกางเต็นท์]]/300000</f>
        <v>0</v>
      </c>
      <c r="AG55" s="1" cm="1">
        <f t="array" ref="AG55">_xlfn.LET(_xlpm.result,INDEX(ราคาค่าบำรุง!D:D, MATCH(TRIM($C55), TRIM(ราคาค่าบำรุง!$A:$A), 0)),IF(ISNUMBER(SEARCH("-", _xlpm.result)), 0, _xlpm.result))</f>
        <v>0</v>
      </c>
      <c r="AH55" s="66">
        <f>group_data_final[[#This Row],[ค่าบำรุงจุดพักรถ]]/300000</f>
        <v>1</v>
      </c>
      <c r="AI55" s="1" cm="1">
        <f t="array" ref="AI55">_xlfn.LET(_xlpm.result,INDEX(ราคาค่าบำรุง!F:F, MATCH(TRIM($C55), TRIM(ราคาค่าบำรุง!$A:$A), 0)),IF(ISNUMBER(SEARCH("-", _xlpm.result)), 0, _xlpm.result))</f>
        <v>300000</v>
      </c>
      <c r="AJ55" s="66">
        <f>group_data_final[[#This Row],[ค่าบำรุงภูมิสถาปัตย์]]/300000</f>
        <v>0</v>
      </c>
      <c r="AK55" s="1" cm="1">
        <f t="array" ref="AK55">_xlfn.LET(_xlpm.result,INDEX(ราคาค่าบำรุง!H:H, MATCH(TRIM($C55), TRIM(ราคาค่าบำรุง!$A:$A), 0)),IF(ISNUMBER(SEARCH("-", _xlpm.result)), 0, _xlpm.result))</f>
        <v>0</v>
      </c>
      <c r="AL55">
        <f t="shared" si="1"/>
        <v>0</v>
      </c>
      <c r="AM55">
        <f>_xlfn.XLOOKUP(group_data_final[[#This Row],[depot_code]],C:C,แผน68!D:D)</f>
        <v>18861170</v>
      </c>
      <c r="AN55">
        <v>5142.8</v>
      </c>
    </row>
    <row r="56" spans="1:40">
      <c r="A56" t="s">
        <v>96</v>
      </c>
      <c r="B56" t="s">
        <v>101</v>
      </c>
      <c r="C56" s="39">
        <v>517</v>
      </c>
      <c r="D56" cm="1">
        <f t="array" ref="D56">_xlfn.LET(_xlpm.result,INDEX(ระยะทาง!C:C, MATCH(TRIM(C56), TRIM(ระยะทาง!$A:$A), 0)),IF(ISNUMBER(SEARCH("-", _xlpm.result)), 0, _xlpm.result))</f>
        <v>884.94</v>
      </c>
      <c r="E56" cm="1">
        <f t="array" ref="E56">_xlfn.LET(_xlpm.result,INDEX(ระยะทาง!D:D, MATCH(TRIM($C56), TRIM(ระยะทาง!$A:$A), 0)),IF(ISNUMBER(SEARCH("-", _xlpm.result)), 0, _xlpm.result))</f>
        <v>7818459379</v>
      </c>
      <c r="F56">
        <v>552826610</v>
      </c>
      <c r="G56">
        <v>2.2911818181818182</v>
      </c>
      <c r="H56">
        <v>442.81299999999999</v>
      </c>
      <c r="I56">
        <v>2</v>
      </c>
      <c r="J56">
        <v>10</v>
      </c>
      <c r="K56">
        <v>3.5454545454545454</v>
      </c>
      <c r="L56">
        <v>3.5</v>
      </c>
      <c r="M56">
        <v>5</v>
      </c>
      <c r="N56">
        <v>31.172999999999998</v>
      </c>
      <c r="O56">
        <v>1</v>
      </c>
      <c r="P56">
        <v>10</v>
      </c>
      <c r="Q56">
        <v>4.333333333333333</v>
      </c>
      <c r="R56">
        <v>3.5</v>
      </c>
      <c r="S56">
        <v>4.333333333333333</v>
      </c>
      <c r="T56">
        <v>0</v>
      </c>
      <c r="U56">
        <v>0</v>
      </c>
      <c r="V56">
        <v>134063.04999999999</v>
      </c>
      <c r="W56">
        <v>2779.5</v>
      </c>
      <c r="X56">
        <v>230644.8137</v>
      </c>
      <c r="Y56">
        <v>176868</v>
      </c>
      <c r="Z56">
        <v>79.0816442231596</v>
      </c>
      <c r="AA56">
        <v>149.37774638176549</v>
      </c>
      <c r="AB56">
        <v>9.1833387223499055E-2</v>
      </c>
      <c r="AC56">
        <v>9.5637712968243864</v>
      </c>
      <c r="AD56">
        <f>D56*'ราคาต้นทุน (Asset)'!$E$1</f>
        <v>53096400</v>
      </c>
      <c r="AE56" s="1" cm="1">
        <f t="array" ref="AE56">_xlfn.LET(_xlpm.result,INDEX(ASSET!U:U, MATCH(TRIM($C56), TRIM(ASSET!$A:$A), 0)),IF(ISNUMBER(SEARCH("-", _xlpm.result)), 0, _xlpm.result))</f>
        <v>3948800</v>
      </c>
      <c r="AF56" s="66">
        <f>group_data_final[[#This Row],[ค่าบำรุงจุดกางเต็นท์]]/300000</f>
        <v>0</v>
      </c>
      <c r="AG56" s="1" cm="1">
        <f t="array" ref="AG56">_xlfn.LET(_xlpm.result,INDEX(ราคาค่าบำรุง!D:D, MATCH(TRIM($C56), TRIM(ราคาค่าบำรุง!$A:$A), 0)),IF(ISNUMBER(SEARCH("-", _xlpm.result)), 0, _xlpm.result))</f>
        <v>0</v>
      </c>
      <c r="AH56" s="66">
        <f>group_data_final[[#This Row],[ค่าบำรุงจุดพักรถ]]/300000</f>
        <v>1</v>
      </c>
      <c r="AI56" s="1" cm="1">
        <f t="array" ref="AI56">_xlfn.LET(_xlpm.result,INDEX(ราคาค่าบำรุง!F:F, MATCH(TRIM($C56), TRIM(ราคาค่าบำรุง!$A:$A), 0)),IF(ISNUMBER(SEARCH("-", _xlpm.result)), 0, _xlpm.result))</f>
        <v>300000</v>
      </c>
      <c r="AJ56" s="66">
        <f>group_data_final[[#This Row],[ค่าบำรุงภูมิสถาปัตย์]]/300000</f>
        <v>0</v>
      </c>
      <c r="AK56" s="1" cm="1">
        <f t="array" ref="AK56">_xlfn.LET(_xlpm.result,INDEX(ราคาค่าบำรุง!H:H, MATCH(TRIM($C56), TRIM(ราคาค่าบำรุง!$A:$A), 0)),IF(ISNUMBER(SEARCH("-", _xlpm.result)), 0, _xlpm.result))</f>
        <v>0</v>
      </c>
      <c r="AL56">
        <f t="shared" si="1"/>
        <v>0</v>
      </c>
      <c r="AM56">
        <f>_xlfn.XLOOKUP(group_data_final[[#This Row],[depot_code]],C:C,แผน68!D:D)</f>
        <v>21938874.260000002</v>
      </c>
      <c r="AN56">
        <v>7791</v>
      </c>
    </row>
    <row r="57" spans="1:40">
      <c r="A57" t="s">
        <v>94</v>
      </c>
      <c r="B57" t="s">
        <v>102</v>
      </c>
      <c r="C57" s="39">
        <v>519</v>
      </c>
      <c r="D57" cm="1">
        <f t="array" ref="D57">_xlfn.LET(_xlpm.result,INDEX(ระยะทาง!C:C, MATCH(TRIM(C57), TRIM(ระยะทาง!$A:$A), 0)),IF(ISNUMBER(SEARCH("-", _xlpm.result)), 0, _xlpm.result))</f>
        <v>806.99</v>
      </c>
      <c r="E57" cm="1">
        <f t="array" ref="E57">_xlfn.LET(_xlpm.result,INDEX(ระยะทาง!D:D, MATCH(TRIM($C57), TRIM(ระยะทาง!$A:$A), 0)),IF(ISNUMBER(SEARCH("-", _xlpm.result)), 0, _xlpm.result))</f>
        <v>4609861272</v>
      </c>
      <c r="F57">
        <v>508765125</v>
      </c>
      <c r="G57">
        <v>2.6256666666666666</v>
      </c>
      <c r="H57">
        <v>531.05899999999997</v>
      </c>
      <c r="I57">
        <v>1</v>
      </c>
      <c r="J57">
        <v>8</v>
      </c>
      <c r="K57">
        <v>3.2592592592592591</v>
      </c>
      <c r="L57">
        <v>6.5</v>
      </c>
      <c r="M57">
        <v>5</v>
      </c>
      <c r="N57">
        <v>53.21</v>
      </c>
      <c r="O57">
        <v>2</v>
      </c>
      <c r="P57">
        <v>6</v>
      </c>
      <c r="Q57">
        <v>4.5</v>
      </c>
      <c r="R57">
        <v>3.5</v>
      </c>
      <c r="S57">
        <v>4.7</v>
      </c>
      <c r="T57">
        <v>0</v>
      </c>
      <c r="U57">
        <v>0</v>
      </c>
      <c r="V57">
        <v>142808.37</v>
      </c>
      <c r="W57">
        <v>0</v>
      </c>
      <c r="X57">
        <v>136375.62900000002</v>
      </c>
      <c r="Y57">
        <v>106225</v>
      </c>
      <c r="Z57">
        <v>42.298991354401622</v>
      </c>
      <c r="AA57">
        <v>24.282435021491153</v>
      </c>
      <c r="AB57">
        <v>1.332121903939254E-2</v>
      </c>
      <c r="AC57">
        <v>8.0719114918428971</v>
      </c>
      <c r="AD57">
        <f>D57*'ราคาต้นทุน (Asset)'!$E$1</f>
        <v>48419400</v>
      </c>
      <c r="AE57" s="1" cm="1">
        <f t="array" ref="AE57">_xlfn.LET(_xlpm.result,INDEX(ASSET!U:U, MATCH(TRIM($C57), TRIM(ASSET!$A:$A), 0)),IF(ISNUMBER(SEARCH("-", _xlpm.result)), 0, _xlpm.result))</f>
        <v>3020800</v>
      </c>
      <c r="AF57" s="66">
        <f>group_data_final[[#This Row],[ค่าบำรุงจุดกางเต็นท์]]/300000</f>
        <v>0</v>
      </c>
      <c r="AG57" s="1" cm="1">
        <f t="array" ref="AG57">_xlfn.LET(_xlpm.result,INDEX(ราคาค่าบำรุง!D:D, MATCH(TRIM($C57), TRIM(ราคาค่าบำรุง!$A:$A), 0)),IF(ISNUMBER(SEARCH("-", _xlpm.result)), 0, _xlpm.result))</f>
        <v>0</v>
      </c>
      <c r="AH57" s="66">
        <f>group_data_final[[#This Row],[ค่าบำรุงจุดพักรถ]]/300000</f>
        <v>0</v>
      </c>
      <c r="AI57" s="1" cm="1">
        <f t="array" ref="AI57">_xlfn.LET(_xlpm.result,INDEX(ราคาค่าบำรุง!F:F, MATCH(TRIM($C57), TRIM(ราคาค่าบำรุง!$A:$A), 0)),IF(ISNUMBER(SEARCH("-", _xlpm.result)), 0, _xlpm.result))</f>
        <v>0</v>
      </c>
      <c r="AJ57" s="66">
        <f>group_data_final[[#This Row],[ค่าบำรุงภูมิสถาปัตย์]]/300000</f>
        <v>0</v>
      </c>
      <c r="AK57" s="1" cm="1">
        <f t="array" ref="AK57">_xlfn.LET(_xlpm.result,INDEX(ราคาค่าบำรุง!H:H, MATCH(TRIM($C57), TRIM(ราคาค่าบำรุง!$A:$A), 0)),IF(ISNUMBER(SEARCH("-", _xlpm.result)), 0, _xlpm.result))</f>
        <v>0</v>
      </c>
      <c r="AL57">
        <f t="shared" si="1"/>
        <v>0</v>
      </c>
      <c r="AM57">
        <f>_xlfn.XLOOKUP(group_data_final[[#This Row],[depot_code]],C:C,แผน68!D:D)</f>
        <v>11000590</v>
      </c>
      <c r="AN57">
        <v>9792.1</v>
      </c>
    </row>
    <row r="58" spans="1:40">
      <c r="A58" t="s">
        <v>103</v>
      </c>
      <c r="B58" t="s">
        <v>104</v>
      </c>
      <c r="C58" s="39">
        <v>521</v>
      </c>
      <c r="D58" cm="1">
        <f t="array" ref="D58">_xlfn.LET(_xlpm.result,INDEX(ระยะทาง!C:C, MATCH(TRIM(C58), TRIM(ระยะทาง!$A:$A), 0)),IF(ISNUMBER(SEARCH("-", _xlpm.result)), 0, _xlpm.result))</f>
        <v>760.61199999999997</v>
      </c>
      <c r="E58" cm="1">
        <f t="array" ref="E58">_xlfn.LET(_xlpm.result,INDEX(ระยะทาง!D:D, MATCH(TRIM($C58), TRIM(ระยะทาง!$A:$A), 0)),IF(ISNUMBER(SEARCH("-", _xlpm.result)), 0, _xlpm.result))</f>
        <v>3841642340</v>
      </c>
      <c r="F58">
        <v>369311937</v>
      </c>
      <c r="G58">
        <v>2.5076666666666667</v>
      </c>
      <c r="H58">
        <v>177.892</v>
      </c>
      <c r="I58">
        <v>1</v>
      </c>
      <c r="J58">
        <v>6</v>
      </c>
      <c r="K58">
        <v>4</v>
      </c>
      <c r="L58">
        <v>3.5</v>
      </c>
      <c r="M58">
        <v>4.7460000000000004</v>
      </c>
      <c r="N58">
        <v>38.607000000000006</v>
      </c>
      <c r="O58">
        <v>2</v>
      </c>
      <c r="P58">
        <v>6</v>
      </c>
      <c r="Q58">
        <v>4.333333333333333</v>
      </c>
      <c r="R58">
        <v>3.5</v>
      </c>
      <c r="S58">
        <v>4.2669999999999995</v>
      </c>
      <c r="T58">
        <v>0</v>
      </c>
      <c r="U58">
        <v>0</v>
      </c>
      <c r="V58">
        <v>52776.187600000027</v>
      </c>
      <c r="W58">
        <v>46843</v>
      </c>
      <c r="X58">
        <v>69666.650999999983</v>
      </c>
      <c r="Y58">
        <v>54113</v>
      </c>
      <c r="Z58">
        <v>543.76968000849592</v>
      </c>
      <c r="AA58">
        <v>53678.551260967863</v>
      </c>
      <c r="AB58">
        <v>-0.20911810087598875</v>
      </c>
      <c r="AC58">
        <v>55.75647327474038</v>
      </c>
      <c r="AD58">
        <f>D58*'ราคาต้นทุน (Asset)'!$E$1</f>
        <v>45636720</v>
      </c>
      <c r="AE58" s="1" cm="1">
        <f t="array" ref="AE58">_xlfn.LET(_xlpm.result,INDEX(ASSET!U:U, MATCH(TRIM($C58), TRIM(ASSET!$A:$A), 0)),IF(ISNUMBER(SEARCH("-", _xlpm.result)), 0, _xlpm.result))</f>
        <v>2601600</v>
      </c>
      <c r="AF58" s="66">
        <f>group_data_final[[#This Row],[ค่าบำรุงจุดกางเต็นท์]]/300000</f>
        <v>0</v>
      </c>
      <c r="AG58" s="1" cm="1">
        <f t="array" ref="AG58">_xlfn.LET(_xlpm.result,INDEX(ราคาค่าบำรุง!D:D, MATCH(TRIM($C58), TRIM(ราคาค่าบำรุง!$A:$A), 0)),IF(ISNUMBER(SEARCH("-", _xlpm.result)), 0, _xlpm.result))</f>
        <v>0</v>
      </c>
      <c r="AH58" s="66">
        <f>group_data_final[[#This Row],[ค่าบำรุงจุดพักรถ]]/300000</f>
        <v>3</v>
      </c>
      <c r="AI58" s="1" cm="1">
        <f t="array" ref="AI58">_xlfn.LET(_xlpm.result,INDEX(ราคาค่าบำรุง!F:F, MATCH(TRIM($C58), TRIM(ราคาค่าบำรุง!$A:$A), 0)),IF(ISNUMBER(SEARCH("-", _xlpm.result)), 0, _xlpm.result))</f>
        <v>900000</v>
      </c>
      <c r="AJ58" s="66">
        <f>group_data_final[[#This Row],[ค่าบำรุงภูมิสถาปัตย์]]/300000</f>
        <v>1</v>
      </c>
      <c r="AK58" s="1" cm="1">
        <f t="array" ref="AK58">_xlfn.LET(_xlpm.result,INDEX(ราคาค่าบำรุง!H:H, MATCH(TRIM($C58), TRIM(ราคาค่าบำรุง!$A:$A), 0)),IF(ISNUMBER(SEARCH("-", _xlpm.result)), 0, _xlpm.result))</f>
        <v>300000</v>
      </c>
      <c r="AL58">
        <f t="shared" si="1"/>
        <v>0</v>
      </c>
      <c r="AM58">
        <f>_xlfn.XLOOKUP(group_data_final[[#This Row],[depot_code]],C:C,แผน68!D:D)</f>
        <v>30530931.02</v>
      </c>
      <c r="AN58">
        <v>5994.5</v>
      </c>
    </row>
    <row r="59" spans="1:40">
      <c r="A59" t="s">
        <v>103</v>
      </c>
      <c r="B59" t="s">
        <v>105</v>
      </c>
      <c r="C59" s="39">
        <v>522</v>
      </c>
      <c r="D59" cm="1">
        <f t="array" ref="D59">_xlfn.LET(_xlpm.result,INDEX(ระยะทาง!C:C, MATCH(TRIM(C59), TRIM(ระยะทาง!$A:$A), 0)),IF(ISNUMBER(SEARCH("-", _xlpm.result)), 0, _xlpm.result))</f>
        <v>922.12800000000004</v>
      </c>
      <c r="E59" cm="1">
        <f t="array" ref="E59">_xlfn.LET(_xlpm.result,INDEX(ระยะทาง!D:D, MATCH(TRIM($C59), TRIM(ระยะทาง!$A:$A), 0)),IF(ISNUMBER(SEARCH("-", _xlpm.result)), 0, _xlpm.result))</f>
        <v>2923949676</v>
      </c>
      <c r="F59">
        <v>72869385</v>
      </c>
      <c r="G59">
        <v>2.4572857142857143</v>
      </c>
      <c r="H59">
        <v>189.648</v>
      </c>
      <c r="I59">
        <v>1</v>
      </c>
      <c r="J59">
        <v>10</v>
      </c>
      <c r="K59">
        <v>4</v>
      </c>
      <c r="L59">
        <v>3.5</v>
      </c>
      <c r="M59">
        <v>4.6820000000000004</v>
      </c>
      <c r="N59">
        <v>137.88499999999999</v>
      </c>
      <c r="O59">
        <v>2</v>
      </c>
      <c r="P59">
        <v>12</v>
      </c>
      <c r="Q59">
        <v>6</v>
      </c>
      <c r="R59">
        <v>3.5</v>
      </c>
      <c r="S59">
        <v>4.7460000000000004</v>
      </c>
      <c r="T59">
        <v>42735</v>
      </c>
      <c r="U59">
        <v>0</v>
      </c>
      <c r="V59">
        <v>177314.18</v>
      </c>
      <c r="W59">
        <v>78043</v>
      </c>
      <c r="X59">
        <v>157395.79500000001</v>
      </c>
      <c r="Y59">
        <v>120215.05499999999</v>
      </c>
      <c r="Z59">
        <v>440.56481659701467</v>
      </c>
      <c r="AA59">
        <v>12754.990579480564</v>
      </c>
      <c r="AB59">
        <v>0.50887516410451106</v>
      </c>
      <c r="AC59">
        <v>55.923049238591886</v>
      </c>
      <c r="AD59">
        <f>D59*'ราคาต้นทุน (Asset)'!$E$1</f>
        <v>55327680</v>
      </c>
      <c r="AE59" s="1" cm="1">
        <f t="array" ref="AE59">_xlfn.LET(_xlpm.result,INDEX(ASSET!U:U, MATCH(TRIM($C59), TRIM(ASSET!$A:$A), 0)),IF(ISNUMBER(SEARCH("-", _xlpm.result)), 0, _xlpm.result))</f>
        <v>4860300</v>
      </c>
      <c r="AF59" s="66">
        <f>group_data_final[[#This Row],[ค่าบำรุงจุดกางเต็นท์]]/300000</f>
        <v>0</v>
      </c>
      <c r="AG59" s="1" cm="1">
        <f t="array" ref="AG59">_xlfn.LET(_xlpm.result,INDEX(ราคาค่าบำรุง!D:D, MATCH(TRIM($C59), TRIM(ราคาค่าบำรุง!$A:$A), 0)),IF(ISNUMBER(SEARCH("-", _xlpm.result)), 0, _xlpm.result))</f>
        <v>0</v>
      </c>
      <c r="AH59" s="66">
        <f>group_data_final[[#This Row],[ค่าบำรุงจุดพักรถ]]/300000</f>
        <v>1</v>
      </c>
      <c r="AI59" s="1" cm="1">
        <f t="array" ref="AI59">_xlfn.LET(_xlpm.result,INDEX(ราคาค่าบำรุง!F:F, MATCH(TRIM($C59), TRIM(ราคาค่าบำรุง!$A:$A), 0)),IF(ISNUMBER(SEARCH("-", _xlpm.result)), 0, _xlpm.result))</f>
        <v>300000</v>
      </c>
      <c r="AJ59" s="66">
        <f>group_data_final[[#This Row],[ค่าบำรุงภูมิสถาปัตย์]]/300000</f>
        <v>0</v>
      </c>
      <c r="AK59" s="1" cm="1">
        <f t="array" ref="AK59">_xlfn.LET(_xlpm.result,INDEX(ราคาค่าบำรุง!H:H, MATCH(TRIM($C59), TRIM(ราคาค่าบำรุง!$A:$A), 0)),IF(ISNUMBER(SEARCH("-", _xlpm.result)), 0, _xlpm.result))</f>
        <v>0</v>
      </c>
      <c r="AL59">
        <f t="shared" si="1"/>
        <v>0</v>
      </c>
      <c r="AM59" s="32">
        <f>_xlfn.XLOOKUP(group_data_final[[#This Row],[depot_code]],C:C,แผน68!D:D)</f>
        <v>10792056</v>
      </c>
      <c r="AN59">
        <v>12287.81</v>
      </c>
    </row>
    <row r="60" spans="1:40">
      <c r="A60" t="s">
        <v>103</v>
      </c>
      <c r="B60" t="s">
        <v>106</v>
      </c>
      <c r="C60" s="39">
        <v>523</v>
      </c>
      <c r="D60" cm="1">
        <f t="array" ref="D60">_xlfn.LET(_xlpm.result,INDEX(ระยะทาง!C:C, MATCH(TRIM(C60), TRIM(ระยะทาง!$A:$A), 0)),IF(ISNUMBER(SEARCH("-", _xlpm.result)), 0, _xlpm.result))</f>
        <v>765.85</v>
      </c>
      <c r="E60" cm="1">
        <f t="array" ref="E60">_xlfn.LET(_xlpm.result,INDEX(ระยะทาง!D:D, MATCH(TRIM($C60), TRIM(ระยะทาง!$A:$A), 0)),IF(ISNUMBER(SEARCH("-", _xlpm.result)), 0, _xlpm.result))</f>
        <v>5275173804</v>
      </c>
      <c r="F60">
        <v>87903536</v>
      </c>
      <c r="G60">
        <v>2.6518888888888892</v>
      </c>
      <c r="H60">
        <v>325.697</v>
      </c>
      <c r="I60">
        <v>1</v>
      </c>
      <c r="J60">
        <v>8</v>
      </c>
      <c r="K60">
        <v>3.625</v>
      </c>
      <c r="L60">
        <v>3.5</v>
      </c>
      <c r="M60">
        <v>5</v>
      </c>
      <c r="N60">
        <v>175.834</v>
      </c>
      <c r="O60">
        <v>1</v>
      </c>
      <c r="P60">
        <v>8</v>
      </c>
      <c r="Q60">
        <v>5.5</v>
      </c>
      <c r="R60">
        <v>3.5</v>
      </c>
      <c r="S60">
        <v>4.75</v>
      </c>
      <c r="T60">
        <v>0</v>
      </c>
      <c r="U60">
        <v>0</v>
      </c>
      <c r="V60">
        <v>113112.20000000001</v>
      </c>
      <c r="W60">
        <v>3493987.95</v>
      </c>
      <c r="X60">
        <v>77992.91</v>
      </c>
      <c r="Y60">
        <v>75398.756999999998</v>
      </c>
      <c r="Z60">
        <v>264.47192316630293</v>
      </c>
      <c r="AA60">
        <v>1817.5774630737149</v>
      </c>
      <c r="AB60">
        <v>0.10493844446781582</v>
      </c>
      <c r="AC60">
        <v>16.503114453144633</v>
      </c>
      <c r="AD60">
        <f>D60*'ราคาต้นทุน (Asset)'!$E$1</f>
        <v>45951000</v>
      </c>
      <c r="AE60" s="1" cm="1">
        <f t="array" ref="AE60">_xlfn.LET(_xlpm.result,INDEX(ASSET!U:U, MATCH(TRIM($C60), TRIM(ASSET!$A:$A), 0)),IF(ISNUMBER(SEARCH("-", _xlpm.result)), 0, _xlpm.result))</f>
        <v>3579100</v>
      </c>
      <c r="AF60" s="66">
        <f>group_data_final[[#This Row],[ค่าบำรุงจุดกางเต็นท์]]/300000</f>
        <v>0</v>
      </c>
      <c r="AG60" s="1" cm="1">
        <f t="array" ref="AG60">_xlfn.LET(_xlpm.result,INDEX(ราคาค่าบำรุง!D:D, MATCH(TRIM($C60), TRIM(ราคาค่าบำรุง!$A:$A), 0)),IF(ISNUMBER(SEARCH("-", _xlpm.result)), 0, _xlpm.result))</f>
        <v>0</v>
      </c>
      <c r="AH60" s="66">
        <f>group_data_final[[#This Row],[ค่าบำรุงจุดพักรถ]]/300000</f>
        <v>3</v>
      </c>
      <c r="AI60" s="1" cm="1">
        <f t="array" ref="AI60">_xlfn.LET(_xlpm.result,INDEX(ราคาค่าบำรุง!F:F, MATCH(TRIM($C60), TRIM(ราคาค่าบำรุง!$A:$A), 0)),IF(ISNUMBER(SEARCH("-", _xlpm.result)), 0, _xlpm.result))</f>
        <v>900000</v>
      </c>
      <c r="AJ60" s="66">
        <f>group_data_final[[#This Row],[ค่าบำรุงภูมิสถาปัตย์]]/300000</f>
        <v>1</v>
      </c>
      <c r="AK60" s="1" cm="1">
        <f t="array" ref="AK60">_xlfn.LET(_xlpm.result,INDEX(ราคาค่าบำรุง!H:H, MATCH(TRIM($C60), TRIM(ราคาค่าบำรุง!$A:$A), 0)),IF(ISNUMBER(SEARCH("-", _xlpm.result)), 0, _xlpm.result))</f>
        <v>300000</v>
      </c>
      <c r="AL60">
        <f t="shared" si="1"/>
        <v>0</v>
      </c>
      <c r="AM60">
        <f>_xlfn.XLOOKUP(group_data_final[[#This Row],[depot_code]],C:C,แผน68!D:D)</f>
        <v>9142855</v>
      </c>
      <c r="AN60">
        <v>9503</v>
      </c>
    </row>
    <row r="61" spans="1:40">
      <c r="A61" t="s">
        <v>103</v>
      </c>
      <c r="B61" t="s">
        <v>107</v>
      </c>
      <c r="C61" s="39">
        <v>524</v>
      </c>
      <c r="D61" cm="1">
        <f t="array" ref="D61">_xlfn.LET(_xlpm.result,INDEX(ระยะทาง!C:C, MATCH(TRIM(C61), TRIM(ระยะทาง!$A:$A), 0)),IF(ISNUMBER(SEARCH("-", _xlpm.result)), 0, _xlpm.result))</f>
        <v>650.26800000000003</v>
      </c>
      <c r="E61" cm="1">
        <f t="array" ref="E61">_xlfn.LET(_xlpm.result,INDEX(ระยะทาง!D:D, MATCH(TRIM($C61), TRIM(ระยะทาง!$A:$A), 0)),IF(ISNUMBER(SEARCH("-", _xlpm.result)), 0, _xlpm.result))</f>
        <v>4501726331</v>
      </c>
      <c r="F61">
        <v>409565552</v>
      </c>
      <c r="G61">
        <v>2.7904999999999998</v>
      </c>
      <c r="H61">
        <v>27.716999999999999</v>
      </c>
      <c r="I61">
        <v>1</v>
      </c>
      <c r="J61">
        <v>6</v>
      </c>
      <c r="K61">
        <v>2.75</v>
      </c>
      <c r="L61">
        <v>3.5</v>
      </c>
      <c r="M61">
        <v>3</v>
      </c>
      <c r="N61">
        <v>117.37100000000001</v>
      </c>
      <c r="O61">
        <v>1</v>
      </c>
      <c r="P61">
        <v>9</v>
      </c>
      <c r="Q61">
        <v>4.25</v>
      </c>
      <c r="R61">
        <v>3.5</v>
      </c>
      <c r="S61">
        <v>3.75</v>
      </c>
      <c r="T61">
        <v>0</v>
      </c>
      <c r="U61">
        <v>2000</v>
      </c>
      <c r="V61">
        <v>45563.94</v>
      </c>
      <c r="W61">
        <v>8428.6500000000015</v>
      </c>
      <c r="X61">
        <v>145095.42399999997</v>
      </c>
      <c r="Y61">
        <v>73359</v>
      </c>
      <c r="Z61">
        <v>363.73505346288425</v>
      </c>
      <c r="AA61">
        <v>1826.5473868920294</v>
      </c>
      <c r="AB61">
        <v>1.4812567103157672E-2</v>
      </c>
      <c r="AC61">
        <v>15.182143258264134</v>
      </c>
      <c r="AD61">
        <f>D61*'ราคาต้นทุน (Asset)'!$E$1</f>
        <v>39016080</v>
      </c>
      <c r="AE61" s="1" cm="1">
        <f t="array" ref="AE61">_xlfn.LET(_xlpm.result,INDEX(ASSET!U:U, MATCH(TRIM($C61), TRIM(ASSET!$A:$A), 0)),IF(ISNUMBER(SEARCH("-", _xlpm.result)), 0, _xlpm.result))</f>
        <v>2981300</v>
      </c>
      <c r="AF61" s="66">
        <f>group_data_final[[#This Row],[ค่าบำรุงจุดกางเต็นท์]]/300000</f>
        <v>0</v>
      </c>
      <c r="AG61" s="1" cm="1">
        <f t="array" ref="AG61">_xlfn.LET(_xlpm.result,INDEX(ราคาค่าบำรุง!D:D, MATCH(TRIM($C61), TRIM(ราคาค่าบำรุง!$A:$A), 0)),IF(ISNUMBER(SEARCH("-", _xlpm.result)), 0, _xlpm.result))</f>
        <v>0</v>
      </c>
      <c r="AH61" s="66">
        <f>group_data_final[[#This Row],[ค่าบำรุงจุดพักรถ]]/300000</f>
        <v>0</v>
      </c>
      <c r="AI61" s="1" cm="1">
        <f t="array" ref="AI61">_xlfn.LET(_xlpm.result,INDEX(ราคาค่าบำรุง!F:F, MATCH(TRIM($C61), TRIM(ราคาค่าบำรุง!$A:$A), 0)),IF(ISNUMBER(SEARCH("-", _xlpm.result)), 0, _xlpm.result))</f>
        <v>0</v>
      </c>
      <c r="AJ61" s="66">
        <f>group_data_final[[#This Row],[ค่าบำรุงภูมิสถาปัตย์]]/300000</f>
        <v>1</v>
      </c>
      <c r="AK61" s="1" cm="1">
        <f t="array" ref="AK61">_xlfn.LET(_xlpm.result,INDEX(ราคาค่าบำรุง!H:H, MATCH(TRIM($C61), TRIM(ราคาค่าบำรุง!$A:$A), 0)),IF(ISNUMBER(SEARCH("-", _xlpm.result)), 0, _xlpm.result))</f>
        <v>300000</v>
      </c>
      <c r="AL61">
        <f t="shared" si="1"/>
        <v>0</v>
      </c>
      <c r="AM61">
        <f>_xlfn.XLOOKUP(group_data_final[[#This Row],[depot_code]],C:C,แผน68!D:D)</f>
        <v>8114437.2000000002</v>
      </c>
      <c r="AN61">
        <v>4362</v>
      </c>
    </row>
    <row r="62" spans="1:40">
      <c r="A62" t="s">
        <v>103</v>
      </c>
      <c r="B62" t="s">
        <v>108</v>
      </c>
      <c r="C62" s="39">
        <v>526</v>
      </c>
      <c r="D62" cm="1">
        <f t="array" ref="D62">_xlfn.LET(_xlpm.result,INDEX(ระยะทาง!C:C, MATCH(TRIM(C62), TRIM(ระยะทาง!$A:$A), 0)),IF(ISNUMBER(SEARCH("-", _xlpm.result)), 0, _xlpm.result))</f>
        <v>621.27700000000004</v>
      </c>
      <c r="E62" cm="1">
        <f t="array" ref="E62">_xlfn.LET(_xlpm.result,INDEX(ระยะทาง!D:D, MATCH(TRIM($C62), TRIM(ระยะทาง!$A:$A), 0)),IF(ISNUMBER(SEARCH("-", _xlpm.result)), 0, _xlpm.result))</f>
        <v>7433681041</v>
      </c>
      <c r="F62">
        <v>98039932</v>
      </c>
      <c r="G62">
        <v>2.4572857142857143</v>
      </c>
      <c r="H62">
        <v>621.27700000000004</v>
      </c>
      <c r="I62">
        <v>1</v>
      </c>
      <c r="J62">
        <v>6</v>
      </c>
      <c r="K62">
        <v>4</v>
      </c>
      <c r="L62">
        <v>3.5</v>
      </c>
      <c r="M62">
        <v>4.7460000000000004</v>
      </c>
      <c r="N62">
        <v>0</v>
      </c>
      <c r="O62">
        <v>2</v>
      </c>
      <c r="P62">
        <v>6</v>
      </c>
      <c r="Q62">
        <v>4.333333333333333</v>
      </c>
      <c r="R62">
        <v>3.5</v>
      </c>
      <c r="S62">
        <v>4.2669999999999995</v>
      </c>
      <c r="T62">
        <v>0</v>
      </c>
      <c r="U62">
        <v>0</v>
      </c>
      <c r="V62">
        <v>1200</v>
      </c>
      <c r="W62">
        <v>4834.3500000000004</v>
      </c>
      <c r="X62">
        <v>29206.35</v>
      </c>
      <c r="Y62">
        <v>1546</v>
      </c>
      <c r="Z62">
        <v>497.44920754000771</v>
      </c>
      <c r="AA62">
        <v>23092.084499236989</v>
      </c>
      <c r="AB62">
        <v>0.34767227073552098</v>
      </c>
      <c r="AC62">
        <v>154.39120007742997</v>
      </c>
      <c r="AD62">
        <f>D62*'ราคาต้นทุน (Asset)'!$E$1</f>
        <v>37276620</v>
      </c>
      <c r="AE62" s="1" cm="1">
        <f t="array" ref="AE62">_xlfn.LET(_xlpm.result,INDEX(ASSET!U:U, MATCH(TRIM($C62), TRIM(ASSET!$A:$A), 0)),IF(ISNUMBER(SEARCH("-", _xlpm.result)), 0, _xlpm.result))</f>
        <v>1720700</v>
      </c>
      <c r="AF62" s="66">
        <f>group_data_final[[#This Row],[ค่าบำรุงจุดกางเต็นท์]]/300000</f>
        <v>0</v>
      </c>
      <c r="AG62" s="1" cm="1">
        <f t="array" ref="AG62">_xlfn.LET(_xlpm.result,INDEX(ราคาค่าบำรุง!D:D, MATCH(TRIM($C62), TRIM(ราคาค่าบำรุง!$A:$A), 0)),IF(ISNUMBER(SEARCH("-", _xlpm.result)), 0, _xlpm.result))</f>
        <v>0</v>
      </c>
      <c r="AH62" s="66">
        <f>group_data_final[[#This Row],[ค่าบำรุงจุดพักรถ]]/300000</f>
        <v>3</v>
      </c>
      <c r="AI62" s="1" cm="1">
        <f t="array" ref="AI62">_xlfn.LET(_xlpm.result,INDEX(ราคาค่าบำรุง!F:F, MATCH(TRIM($C62), TRIM(ราคาค่าบำรุง!$A:$A), 0)),IF(ISNUMBER(SEARCH("-", _xlpm.result)), 0, _xlpm.result))</f>
        <v>900000</v>
      </c>
      <c r="AJ62" s="66">
        <f>group_data_final[[#This Row],[ค่าบำรุงภูมิสถาปัตย์]]/300000</f>
        <v>1</v>
      </c>
      <c r="AK62" s="1" cm="1">
        <f t="array" ref="AK62">_xlfn.LET(_xlpm.result,INDEX(ราคาค่าบำรุง!H:H, MATCH(TRIM($C62), TRIM(ราคาค่าบำรุง!$A:$A), 0)),IF(ISNUMBER(SEARCH("-", _xlpm.result)), 0, _xlpm.result))</f>
        <v>300000</v>
      </c>
      <c r="AL62">
        <f t="shared" si="1"/>
        <v>0</v>
      </c>
      <c r="AM62">
        <f>_xlfn.XLOOKUP(group_data_final[[#This Row],[depot_code]],C:C,แผน68!D:D)</f>
        <v>4802893</v>
      </c>
      <c r="AN62">
        <v>5731.3</v>
      </c>
    </row>
    <row r="63" spans="1:40">
      <c r="A63" t="s">
        <v>103</v>
      </c>
      <c r="B63" t="s">
        <v>109</v>
      </c>
      <c r="C63" s="39">
        <v>527</v>
      </c>
      <c r="D63" cm="1">
        <f t="array" ref="D63">_xlfn.LET(_xlpm.result,INDEX(ระยะทาง!C:C, MATCH(TRIM(C63), TRIM(ระยะทาง!$A:$A), 0)),IF(ISNUMBER(SEARCH("-", _xlpm.result)), 0, _xlpm.result))</f>
        <v>757.51199999999994</v>
      </c>
      <c r="E63" cm="1">
        <f t="array" ref="E63">_xlfn.LET(_xlpm.result,INDEX(ระยะทาง!D:D, MATCH(TRIM($C63), TRIM(ระยะทาง!$A:$A), 0)),IF(ISNUMBER(SEARCH("-", _xlpm.result)), 0, _xlpm.result))</f>
        <v>8190537479</v>
      </c>
      <c r="F63">
        <v>270059734</v>
      </c>
      <c r="G63">
        <v>2.7109999999999999</v>
      </c>
      <c r="H63">
        <v>288.858</v>
      </c>
      <c r="I63">
        <v>2</v>
      </c>
      <c r="J63">
        <v>6</v>
      </c>
      <c r="K63">
        <v>3.2</v>
      </c>
      <c r="L63">
        <v>3.5</v>
      </c>
      <c r="M63">
        <v>4.4000000000000004</v>
      </c>
      <c r="N63">
        <v>2.339</v>
      </c>
      <c r="O63">
        <v>2</v>
      </c>
      <c r="P63">
        <v>6</v>
      </c>
      <c r="Q63">
        <v>4.5</v>
      </c>
      <c r="R63">
        <v>3.5</v>
      </c>
      <c r="S63">
        <v>4.6669999999999998</v>
      </c>
      <c r="T63">
        <v>0</v>
      </c>
      <c r="U63">
        <v>0</v>
      </c>
      <c r="V63">
        <v>64167.22</v>
      </c>
      <c r="W63">
        <v>0</v>
      </c>
      <c r="X63">
        <v>82255.622399999993</v>
      </c>
      <c r="Y63">
        <v>14843.5</v>
      </c>
      <c r="Z63">
        <v>727.93835363855601</v>
      </c>
      <c r="AA63">
        <v>34949.069875694055</v>
      </c>
      <c r="AB63">
        <v>-4.6281322747951034E-3</v>
      </c>
      <c r="AC63">
        <v>115.28721149780431</v>
      </c>
      <c r="AD63">
        <f>D63*'ราคาต้นทุน (Asset)'!$E$1</f>
        <v>45450720</v>
      </c>
      <c r="AE63" s="1" cm="1">
        <f t="array" ref="AE63">_xlfn.LET(_xlpm.result,INDEX(ASSET!U:U, MATCH(TRIM($C63), TRIM(ASSET!$A:$A), 0)),IF(ISNUMBER(SEARCH("-", _xlpm.result)), 0, _xlpm.result))</f>
        <v>2373200</v>
      </c>
      <c r="AF63" s="66">
        <f>group_data_final[[#This Row],[ค่าบำรุงจุดกางเต็นท์]]/300000</f>
        <v>0</v>
      </c>
      <c r="AG63" s="1" cm="1">
        <f t="array" ref="AG63">_xlfn.LET(_xlpm.result,INDEX(ราคาค่าบำรุง!D:D, MATCH(TRIM($C63), TRIM(ราคาค่าบำรุง!$A:$A), 0)),IF(ISNUMBER(SEARCH("-", _xlpm.result)), 0, _xlpm.result))</f>
        <v>0</v>
      </c>
      <c r="AH63" s="66">
        <f>group_data_final[[#This Row],[ค่าบำรุงจุดพักรถ]]/300000</f>
        <v>0</v>
      </c>
      <c r="AI63" s="1" cm="1">
        <f t="array" ref="AI63">_xlfn.LET(_xlpm.result,INDEX(ราคาค่าบำรุง!F:F, MATCH(TRIM($C63), TRIM(ราคาค่าบำรุง!$A:$A), 0)),IF(ISNUMBER(SEARCH("-", _xlpm.result)), 0, _xlpm.result))</f>
        <v>0</v>
      </c>
      <c r="AJ63" s="66">
        <f>group_data_final[[#This Row],[ค่าบำรุงภูมิสถาปัตย์]]/300000</f>
        <v>0</v>
      </c>
      <c r="AK63" s="1" cm="1">
        <f t="array" ref="AK63">_xlfn.LET(_xlpm.result,INDEX(ราคาค่าบำรุง!H:H, MATCH(TRIM($C63), TRIM(ราคาค่าบำรุง!$A:$A), 0)),IF(ISNUMBER(SEARCH("-", _xlpm.result)), 0, _xlpm.result))</f>
        <v>0</v>
      </c>
      <c r="AL63">
        <f t="shared" si="1"/>
        <v>0</v>
      </c>
      <c r="AM63" s="32">
        <f>_xlfn.XLOOKUP(group_data_final[[#This Row],[depot_code]],C:C,แผน68!D:D)</f>
        <v>16237561.5</v>
      </c>
      <c r="AN63">
        <v>5050</v>
      </c>
    </row>
    <row r="64" spans="1:40">
      <c r="A64" t="s">
        <v>103</v>
      </c>
      <c r="B64" t="s">
        <v>110</v>
      </c>
      <c r="C64" s="39">
        <v>528</v>
      </c>
      <c r="D64" cm="1">
        <f t="array" ref="D64">_xlfn.LET(_xlpm.result,INDEX(ระยะทาง!C:C, MATCH(TRIM(C64), TRIM(ระยะทาง!$A:$A), 0)),IF(ISNUMBER(SEARCH("-", _xlpm.result)), 0, _xlpm.result))</f>
        <v>668.21699999999998</v>
      </c>
      <c r="E64" cm="1">
        <f t="array" ref="E64">_xlfn.LET(_xlpm.result,INDEX(ระยะทาง!D:D, MATCH(TRIM($C64), TRIM(ระยะทาง!$A:$A), 0)),IF(ISNUMBER(SEARCH("-", _xlpm.result)), 0, _xlpm.result))</f>
        <v>3614318238</v>
      </c>
      <c r="F64">
        <v>106829384</v>
      </c>
      <c r="G64">
        <v>2.375909090909091</v>
      </c>
      <c r="H64">
        <v>409.29699999999997</v>
      </c>
      <c r="I64">
        <v>2</v>
      </c>
      <c r="J64">
        <v>6</v>
      </c>
      <c r="K64">
        <v>3</v>
      </c>
      <c r="L64">
        <v>3.5</v>
      </c>
      <c r="M64">
        <v>5.38</v>
      </c>
      <c r="N64">
        <v>62.307000000000002</v>
      </c>
      <c r="O64">
        <v>4</v>
      </c>
      <c r="P64">
        <v>8</v>
      </c>
      <c r="Q64">
        <v>4.2</v>
      </c>
      <c r="R64">
        <v>3.5</v>
      </c>
      <c r="S64">
        <v>4.8666</v>
      </c>
      <c r="T64">
        <v>14385</v>
      </c>
      <c r="U64">
        <v>0</v>
      </c>
      <c r="V64">
        <v>42731.040000000001</v>
      </c>
      <c r="W64">
        <v>2269</v>
      </c>
      <c r="X64">
        <v>96702.29</v>
      </c>
      <c r="Y64">
        <v>114741.32</v>
      </c>
      <c r="Z64">
        <v>357.60081621549909</v>
      </c>
      <c r="AA64">
        <v>10148.185683926748</v>
      </c>
      <c r="AB64">
        <v>-7.3669329337627279E-2</v>
      </c>
      <c r="AC64">
        <v>51.707388460396459</v>
      </c>
      <c r="AD64">
        <f>D64*'ราคาต้นทุน (Asset)'!$E$1</f>
        <v>40093020</v>
      </c>
      <c r="AE64" s="1" cm="1">
        <f t="array" ref="AE64">_xlfn.LET(_xlpm.result,INDEX(ASSET!U:U, MATCH(TRIM($C64), TRIM(ASSET!$A:$A), 0)),IF(ISNUMBER(SEARCH("-", _xlpm.result)), 0, _xlpm.result))</f>
        <v>2429600</v>
      </c>
      <c r="AF64" s="66">
        <f>group_data_final[[#This Row],[ค่าบำรุงจุดกางเต็นท์]]/300000</f>
        <v>2</v>
      </c>
      <c r="AG64" s="1" cm="1">
        <f t="array" ref="AG64">_xlfn.LET(_xlpm.result,INDEX(ราคาค่าบำรุง!D:D, MATCH(TRIM($C64), TRIM(ราคาค่าบำรุง!$A:$A), 0)),IF(ISNUMBER(SEARCH("-", _xlpm.result)), 0, _xlpm.result))</f>
        <v>600000</v>
      </c>
      <c r="AH64" s="66">
        <f>group_data_final[[#This Row],[ค่าบำรุงจุดพักรถ]]/300000</f>
        <v>1</v>
      </c>
      <c r="AI64" s="1" cm="1">
        <f t="array" ref="AI64">_xlfn.LET(_xlpm.result,INDEX(ราคาค่าบำรุง!F:F, MATCH(TRIM($C64), TRIM(ราคาค่าบำรุง!$A:$A), 0)),IF(ISNUMBER(SEARCH("-", _xlpm.result)), 0, _xlpm.result))</f>
        <v>300000</v>
      </c>
      <c r="AJ64" s="66">
        <f>group_data_final[[#This Row],[ค่าบำรุงภูมิสถาปัตย์]]/300000</f>
        <v>2</v>
      </c>
      <c r="AK64" s="1" cm="1">
        <f t="array" ref="AK64">_xlfn.LET(_xlpm.result,INDEX(ราคาค่าบำรุง!H:H, MATCH(TRIM($C64), TRIM(ราคาค่าบำรุง!$A:$A), 0)),IF(ISNUMBER(SEARCH("-", _xlpm.result)), 0, _xlpm.result))</f>
        <v>600000</v>
      </c>
      <c r="AL64">
        <f t="shared" si="1"/>
        <v>0</v>
      </c>
      <c r="AM64">
        <f>_xlfn.XLOOKUP(group_data_final[[#This Row],[depot_code]],C:C,แผน68!D:D)</f>
        <v>10140437</v>
      </c>
      <c r="AN64">
        <v>5643.9</v>
      </c>
    </row>
    <row r="65" spans="1:40">
      <c r="A65" t="s">
        <v>111</v>
      </c>
      <c r="B65" t="s">
        <v>112</v>
      </c>
      <c r="C65" s="39">
        <v>531</v>
      </c>
      <c r="D65" cm="1">
        <f t="array" ref="D65">_xlfn.LET(_xlpm.result,INDEX(ระยะทาง!C:C, MATCH(TRIM(C65), TRIM(ระยะทาง!$A:$A), 0)),IF(ISNUMBER(SEARCH("-", _xlpm.result)), 0, _xlpm.result))</f>
        <v>868.16399999999999</v>
      </c>
      <c r="E65" cm="1">
        <f t="array" ref="E65">_xlfn.LET(_xlpm.result,INDEX(ระยะทาง!D:D, MATCH(TRIM($C65), TRIM(ระยะทาง!$A:$A), 0)),IF(ISNUMBER(SEARCH("-", _xlpm.result)), 0, _xlpm.result))</f>
        <v>7275391789</v>
      </c>
      <c r="F65">
        <v>272233945</v>
      </c>
      <c r="G65">
        <v>2.4934444444444441</v>
      </c>
      <c r="H65">
        <v>308.31</v>
      </c>
      <c r="I65">
        <v>2</v>
      </c>
      <c r="J65">
        <v>8</v>
      </c>
      <c r="K65">
        <v>4.375</v>
      </c>
      <c r="L65">
        <v>3.5</v>
      </c>
      <c r="M65">
        <v>5</v>
      </c>
      <c r="N65">
        <v>112.292</v>
      </c>
      <c r="O65">
        <v>2</v>
      </c>
      <c r="P65">
        <v>8</v>
      </c>
      <c r="Q65">
        <v>4.875</v>
      </c>
      <c r="R65">
        <v>3.5</v>
      </c>
      <c r="S65">
        <v>5</v>
      </c>
      <c r="T65">
        <v>0</v>
      </c>
      <c r="U65">
        <v>0</v>
      </c>
      <c r="V65">
        <v>25456.661</v>
      </c>
      <c r="W65">
        <v>5850</v>
      </c>
      <c r="X65">
        <v>54578.632100000003</v>
      </c>
      <c r="Y65">
        <v>12097</v>
      </c>
      <c r="Z65">
        <v>249.34832752436839</v>
      </c>
      <c r="AA65">
        <v>6361.8820608937694</v>
      </c>
      <c r="AB65">
        <v>0.75388371621472983</v>
      </c>
      <c r="AC65">
        <v>51.25434957528023</v>
      </c>
      <c r="AD65">
        <f>D65*'ราคาต้นทุน (Asset)'!$E$1</f>
        <v>52089840</v>
      </c>
      <c r="AE65" s="1" cm="1">
        <f t="array" ref="AE65">_xlfn.LET(_xlpm.result,INDEX(ASSET!U:U, MATCH(TRIM($C65), TRIM(ASSET!$A:$A), 0)),IF(ISNUMBER(SEARCH("-", _xlpm.result)), 0, _xlpm.result))</f>
        <v>3440700</v>
      </c>
      <c r="AF65" s="66">
        <f>group_data_final[[#This Row],[ค่าบำรุงจุดกางเต็นท์]]/300000</f>
        <v>0</v>
      </c>
      <c r="AG65" s="1" cm="1">
        <f t="array" ref="AG65">_xlfn.LET(_xlpm.result,INDEX(ราคาค่าบำรุง!D:D, MATCH(TRIM($C65), TRIM(ราคาค่าบำรุง!$A:$A), 0)),IF(ISNUMBER(SEARCH("-", _xlpm.result)), 0, _xlpm.result))</f>
        <v>0</v>
      </c>
      <c r="AH65" s="66">
        <f>group_data_final[[#This Row],[ค่าบำรุงจุดพักรถ]]/300000</f>
        <v>0</v>
      </c>
      <c r="AI65" s="1" cm="1">
        <f t="array" ref="AI65">_xlfn.LET(_xlpm.result,INDEX(ราคาค่าบำรุง!F:F, MATCH(TRIM($C65), TRIM(ราคาค่าบำรุง!$A:$A), 0)),IF(ISNUMBER(SEARCH("-", _xlpm.result)), 0, _xlpm.result))</f>
        <v>0</v>
      </c>
      <c r="AJ65" s="66">
        <f>group_data_final[[#This Row],[ค่าบำรุงภูมิสถาปัตย์]]/300000</f>
        <v>0</v>
      </c>
      <c r="AK65" s="1" cm="1">
        <f t="array" ref="AK65">_xlfn.LET(_xlpm.result,INDEX(ราคาค่าบำรุง!H:H, MATCH(TRIM($C65), TRIM(ราคาค่าบำรุง!$A:$A), 0)),IF(ISNUMBER(SEARCH("-", _xlpm.result)), 0, _xlpm.result))</f>
        <v>0</v>
      </c>
      <c r="AL65">
        <f t="shared" si="1"/>
        <v>0</v>
      </c>
      <c r="AM65">
        <f>_xlfn.XLOOKUP(group_data_final[[#This Row],[depot_code]],C:C,แผน68!D:D)</f>
        <v>29465698.710000001</v>
      </c>
      <c r="AN65">
        <v>8265</v>
      </c>
    </row>
    <row r="66" spans="1:40">
      <c r="A66" t="s">
        <v>111</v>
      </c>
      <c r="B66" t="s">
        <v>113</v>
      </c>
      <c r="C66" s="39">
        <v>533</v>
      </c>
      <c r="D66" cm="1">
        <f t="array" ref="D66">_xlfn.LET(_xlpm.result,INDEX(ระยะทาง!C:C, MATCH(TRIM(C66), TRIM(ระยะทาง!$A:$A), 0)),IF(ISNUMBER(SEARCH("-", _xlpm.result)), 0, _xlpm.result))</f>
        <v>1016.413</v>
      </c>
      <c r="E66" cm="1">
        <f t="array" ref="E66">_xlfn.LET(_xlpm.result,INDEX(ระยะทาง!D:D, MATCH(TRIM($C66), TRIM(ระยะทาง!$A:$A), 0)),IF(ISNUMBER(SEARCH("-", _xlpm.result)), 0, _xlpm.result))</f>
        <v>2534722589</v>
      </c>
      <c r="F66">
        <v>266829589</v>
      </c>
      <c r="G66">
        <v>2.6423333333333336</v>
      </c>
      <c r="H66">
        <v>534.20000000000005</v>
      </c>
      <c r="I66">
        <v>1</v>
      </c>
      <c r="J66">
        <v>8</v>
      </c>
      <c r="K66">
        <v>2.7777777777777777</v>
      </c>
      <c r="L66">
        <v>3.625</v>
      </c>
      <c r="M66">
        <v>6.8659999999999997</v>
      </c>
      <c r="N66">
        <v>70.638999999999996</v>
      </c>
      <c r="O66">
        <v>1</v>
      </c>
      <c r="P66">
        <v>8</v>
      </c>
      <c r="Q66">
        <v>3.9333333333333331</v>
      </c>
      <c r="R66">
        <v>3.5</v>
      </c>
      <c r="S66">
        <v>3.9512307692307691</v>
      </c>
      <c r="T66">
        <v>0</v>
      </c>
      <c r="U66">
        <v>0</v>
      </c>
      <c r="V66">
        <v>92854.399999999994</v>
      </c>
      <c r="W66">
        <v>39270</v>
      </c>
      <c r="X66">
        <v>61121.745000000185</v>
      </c>
      <c r="Y66">
        <v>22074</v>
      </c>
      <c r="Z66">
        <v>520.94979556225769</v>
      </c>
      <c r="AA66">
        <v>10405.140088842412</v>
      </c>
      <c r="AB66">
        <v>0.45774884227643298</v>
      </c>
      <c r="AC66">
        <v>66.701883907760745</v>
      </c>
      <c r="AD66">
        <f>D66*'ราคาต้นทุน (Asset)'!$E$1</f>
        <v>60984780</v>
      </c>
      <c r="AE66" s="1" cm="1">
        <f t="array" ref="AE66">_xlfn.LET(_xlpm.result,INDEX(ASSET!U:U, MATCH(TRIM($C66), TRIM(ASSET!$A:$A), 0)),IF(ISNUMBER(SEARCH("-", _xlpm.result)), 0, _xlpm.result))</f>
        <v>4980900</v>
      </c>
      <c r="AF66" s="66">
        <f>group_data_final[[#This Row],[ค่าบำรุงจุดกางเต็นท์]]/300000</f>
        <v>2</v>
      </c>
      <c r="AG66" s="1" cm="1">
        <f t="array" ref="AG66">_xlfn.LET(_xlpm.result,INDEX(ราคาค่าบำรุง!D:D, MATCH(TRIM($C66), TRIM(ราคาค่าบำรุง!$A:$A), 0)),IF(ISNUMBER(SEARCH("-", _xlpm.result)), 0, _xlpm.result))</f>
        <v>600000</v>
      </c>
      <c r="AH66" s="66">
        <f>group_data_final[[#This Row],[ค่าบำรุงจุดพักรถ]]/300000</f>
        <v>2</v>
      </c>
      <c r="AI66" s="1" cm="1">
        <f t="array" ref="AI66">_xlfn.LET(_xlpm.result,INDEX(ราคาค่าบำรุง!F:F, MATCH(TRIM($C66), TRIM(ราคาค่าบำรุง!$A:$A), 0)),IF(ISNUMBER(SEARCH("-", _xlpm.result)), 0, _xlpm.result))</f>
        <v>600000</v>
      </c>
      <c r="AJ66" s="66">
        <f>group_data_final[[#This Row],[ค่าบำรุงภูมิสถาปัตย์]]/300000</f>
        <v>1</v>
      </c>
      <c r="AK66" s="1" cm="1">
        <f t="array" ref="AK66">_xlfn.LET(_xlpm.result,INDEX(ราคาค่าบำรุง!H:H, MATCH(TRIM($C66), TRIM(ราคาค่าบำรุง!$A:$A), 0)),IF(ISNUMBER(SEARCH("-", _xlpm.result)), 0, _xlpm.result))</f>
        <v>300000</v>
      </c>
      <c r="AL66">
        <f t="shared" ref="AL66:AL97" si="2">IF(OR(COUNTIF(B66,"*กระบี่*"),COUNTIF(B66,"*จันทบุรี*"),COUNTIF(B66,"*ชุมพร*"),COUNTIF(B66,"*เชียงราย*"),COUNTIF(B66,"*ตรัง*"),COUNTIF(B66,"*นครนายก*"),COUNTIF(B66,"*ปราจีนบุรี*"),COUNTIF(B66,"*พัทลุง*"),COUNTIF(B66,"*ภูเก็ต*"),COUNTIF(B66,"*ยะลา*"),COUNTIF(B66,"*สกลนคร*"),COUNTIF(B66,"*สตูล*"),COUNTIF(B66,"*หนองคาย*"),COUNTIF(B66,"*สุราษฎร์ธานี*"),COUNTIF(B66,"*ปัตตานี*")),2,
IF(OR(COUNTIF(B66,"*ตราด*"),COUNTIF(B66,"*นครพนม*"),COUNTIF(B66,"*นครศรีธรรมราช*"),COUNTIF(B66,"*นราธิวาส*"),COUNTIF(B66,"*บึงกาฬ*"),COUNTIF(B66,"*พังงา*"),COUNTIF(B66,"*ระนอง*"),COUNTIF(B66,"*สงขลา*")),4,0))</f>
        <v>2</v>
      </c>
      <c r="AM66">
        <f>_xlfn.XLOOKUP(group_data_final[[#This Row],[depot_code]],C:C,แผน68!D:D)</f>
        <v>15692770.6</v>
      </c>
      <c r="AN66">
        <v>7504.5</v>
      </c>
    </row>
    <row r="67" spans="1:40">
      <c r="A67" t="s">
        <v>111</v>
      </c>
      <c r="B67" t="s">
        <v>114</v>
      </c>
      <c r="C67" s="39">
        <v>535</v>
      </c>
      <c r="D67" cm="1">
        <f t="array" ref="D67">_xlfn.LET(_xlpm.result,INDEX(ระยะทาง!C:C, MATCH(TRIM(C67), TRIM(ระยะทาง!$A:$A), 0)),IF(ISNUMBER(SEARCH("-", _xlpm.result)), 0, _xlpm.result))</f>
        <v>731.81200000000001</v>
      </c>
      <c r="E67" cm="1">
        <f t="array" ref="E67">_xlfn.LET(_xlpm.result,INDEX(ระยะทาง!D:D, MATCH(TRIM($C67), TRIM(ระยะทาง!$A:$A), 0)),IF(ISNUMBER(SEARCH("-", _xlpm.result)), 0, _xlpm.result))</f>
        <v>5544082966</v>
      </c>
      <c r="F67">
        <v>119454959</v>
      </c>
      <c r="G67">
        <v>2.4816363636363636</v>
      </c>
      <c r="H67">
        <v>281.99099999999999</v>
      </c>
      <c r="I67">
        <v>2</v>
      </c>
      <c r="J67">
        <v>6</v>
      </c>
      <c r="K67">
        <v>2.4545454545454546</v>
      </c>
      <c r="L67">
        <v>3.5</v>
      </c>
      <c r="M67">
        <v>5</v>
      </c>
      <c r="N67">
        <v>21.277000000000001</v>
      </c>
      <c r="O67">
        <v>2</v>
      </c>
      <c r="P67">
        <v>6</v>
      </c>
      <c r="Q67">
        <v>3.3333333333333335</v>
      </c>
      <c r="R67">
        <v>4</v>
      </c>
      <c r="S67">
        <v>4.5</v>
      </c>
      <c r="T67">
        <v>0</v>
      </c>
      <c r="U67">
        <v>0</v>
      </c>
      <c r="V67">
        <v>39239.93</v>
      </c>
      <c r="W67">
        <v>21323.1</v>
      </c>
      <c r="X67">
        <v>87357.885000000024</v>
      </c>
      <c r="Y67">
        <v>67471.399999999994</v>
      </c>
      <c r="Z67">
        <v>413.82516981225712</v>
      </c>
      <c r="AA67">
        <v>4745.7964522288958</v>
      </c>
      <c r="AB67">
        <v>0.22445737312346067</v>
      </c>
      <c r="AC67">
        <v>26.144416426968018</v>
      </c>
      <c r="AD67">
        <f>D67*'ราคาต้นทุน (Asset)'!$E$1</f>
        <v>43908720</v>
      </c>
      <c r="AE67" s="1" cm="1">
        <f t="array" ref="AE67">_xlfn.LET(_xlpm.result,INDEX(ASSET!U:U, MATCH(TRIM($C67), TRIM(ASSET!$A:$A), 0)),IF(ISNUMBER(SEARCH("-", _xlpm.result)), 0, _xlpm.result))</f>
        <v>3815700</v>
      </c>
      <c r="AF67" s="66">
        <f>group_data_final[[#This Row],[ค่าบำรุงจุดกางเต็นท์]]/300000</f>
        <v>0</v>
      </c>
      <c r="AG67" s="1" cm="1">
        <f t="array" ref="AG67">_xlfn.LET(_xlpm.result,INDEX(ราคาค่าบำรุง!D:D, MATCH(TRIM($C67), TRIM(ราคาค่าบำรุง!$A:$A), 0)),IF(ISNUMBER(SEARCH("-", _xlpm.result)), 0, _xlpm.result))</f>
        <v>0</v>
      </c>
      <c r="AH67" s="66">
        <f>group_data_final[[#This Row],[ค่าบำรุงจุดพักรถ]]/300000</f>
        <v>1</v>
      </c>
      <c r="AI67" s="1" cm="1">
        <f t="array" ref="AI67">_xlfn.LET(_xlpm.result,INDEX(ราคาค่าบำรุง!F:F, MATCH(TRIM($C67), TRIM(ราคาค่าบำรุง!$A:$A), 0)),IF(ISNUMBER(SEARCH("-", _xlpm.result)), 0, _xlpm.result))</f>
        <v>300000</v>
      </c>
      <c r="AJ67" s="66">
        <f>group_data_final[[#This Row],[ค่าบำรุงภูมิสถาปัตย์]]/300000</f>
        <v>0</v>
      </c>
      <c r="AK67" s="1" cm="1">
        <f t="array" ref="AK67">_xlfn.LET(_xlpm.result,INDEX(ราคาค่าบำรุง!H:H, MATCH(TRIM($C67), TRIM(ราคาค่าบำรุง!$A:$A), 0)),IF(ISNUMBER(SEARCH("-", _xlpm.result)), 0, _xlpm.result))</f>
        <v>0</v>
      </c>
      <c r="AL67">
        <f t="shared" si="2"/>
        <v>0</v>
      </c>
      <c r="AM67">
        <f>_xlfn.XLOOKUP(group_data_final[[#This Row],[depot_code]],C:C,แผน68!D:D)</f>
        <v>15740359.6</v>
      </c>
      <c r="AN67">
        <v>6179</v>
      </c>
    </row>
    <row r="68" spans="1:40">
      <c r="A68" t="s">
        <v>111</v>
      </c>
      <c r="B68" t="s">
        <v>115</v>
      </c>
      <c r="C68" s="39">
        <v>536</v>
      </c>
      <c r="D68" cm="1">
        <f t="array" ref="D68">_xlfn.LET(_xlpm.result,INDEX(ระยะทาง!C:C, MATCH(TRIM(C68), TRIM(ระยะทาง!$A:$A), 0)),IF(ISNUMBER(SEARCH("-", _xlpm.result)), 0, _xlpm.result))</f>
        <v>689.76900000000001</v>
      </c>
      <c r="E68" cm="1">
        <f t="array" ref="E68">_xlfn.LET(_xlpm.result,INDEX(ระยะทาง!D:D, MATCH(TRIM($C68), TRIM(ระยะทาง!$A:$A), 0)),IF(ISNUMBER(SEARCH("-", _xlpm.result)), 0, _xlpm.result))</f>
        <v>6945868013</v>
      </c>
      <c r="F68">
        <v>77951494</v>
      </c>
      <c r="G68">
        <v>2.5166249999999999</v>
      </c>
      <c r="H68">
        <v>389.678</v>
      </c>
      <c r="I68">
        <v>2</v>
      </c>
      <c r="J68">
        <v>4</v>
      </c>
      <c r="K68">
        <v>2.625</v>
      </c>
      <c r="L68">
        <v>4.3330000000000002</v>
      </c>
      <c r="M68">
        <v>5</v>
      </c>
      <c r="N68">
        <v>1.0150000000000001</v>
      </c>
      <c r="O68">
        <v>2</v>
      </c>
      <c r="P68">
        <v>4</v>
      </c>
      <c r="Q68">
        <v>2.6666666666666665</v>
      </c>
      <c r="R68">
        <v>3.5</v>
      </c>
      <c r="S68">
        <v>2</v>
      </c>
      <c r="T68">
        <v>6045</v>
      </c>
      <c r="U68">
        <v>0</v>
      </c>
      <c r="V68">
        <v>40582.15</v>
      </c>
      <c r="W68">
        <v>2473.1800000000003</v>
      </c>
      <c r="X68">
        <v>108810.95999999998</v>
      </c>
      <c r="Y68">
        <v>51161</v>
      </c>
      <c r="Z68">
        <v>353.912815294491</v>
      </c>
      <c r="AA68">
        <v>11717.074760403528</v>
      </c>
      <c r="AB68">
        <v>0.28241728571302371</v>
      </c>
      <c r="AC68">
        <v>87.618092796441047</v>
      </c>
      <c r="AD68">
        <f>D68*'ราคาต้นทุน (Asset)'!$E$1</f>
        <v>41386140</v>
      </c>
      <c r="AE68" s="1" cm="1">
        <f t="array" ref="AE68">_xlfn.LET(_xlpm.result,INDEX(ASSET!U:U, MATCH(TRIM($C68), TRIM(ASSET!$A:$A), 0)),IF(ISNUMBER(SEARCH("-", _xlpm.result)), 0, _xlpm.result))</f>
        <v>2179500</v>
      </c>
      <c r="AF68" s="66">
        <f>group_data_final[[#This Row],[ค่าบำรุงจุดกางเต็นท์]]/300000</f>
        <v>0</v>
      </c>
      <c r="AG68" s="1" cm="1">
        <f t="array" ref="AG68">_xlfn.LET(_xlpm.result,INDEX(ราคาค่าบำรุง!D:D, MATCH(TRIM($C68), TRIM(ราคาค่าบำรุง!$A:$A), 0)),IF(ISNUMBER(SEARCH("-", _xlpm.result)), 0, _xlpm.result))</f>
        <v>0</v>
      </c>
      <c r="AH68" s="66">
        <f>group_data_final[[#This Row],[ค่าบำรุงจุดพักรถ]]/300000</f>
        <v>1</v>
      </c>
      <c r="AI68" s="1" cm="1">
        <f t="array" ref="AI68">_xlfn.LET(_xlpm.result,INDEX(ราคาค่าบำรุง!F:F, MATCH(TRIM($C68), TRIM(ราคาค่าบำรุง!$A:$A), 0)),IF(ISNUMBER(SEARCH("-", _xlpm.result)), 0, _xlpm.result))</f>
        <v>300000</v>
      </c>
      <c r="AJ68" s="66">
        <f>group_data_final[[#This Row],[ค่าบำรุงภูมิสถาปัตย์]]/300000</f>
        <v>4</v>
      </c>
      <c r="AK68" s="1" cm="1">
        <f t="array" ref="AK68">_xlfn.LET(_xlpm.result,INDEX(ราคาค่าบำรุง!H:H, MATCH(TRIM($C68), TRIM(ราคาค่าบำรุง!$A:$A), 0)),IF(ISNUMBER(SEARCH("-", _xlpm.result)), 0, _xlpm.result))</f>
        <v>1200000</v>
      </c>
      <c r="AL68">
        <f t="shared" si="2"/>
        <v>0</v>
      </c>
      <c r="AM68">
        <f>_xlfn.XLOOKUP(group_data_final[[#This Row],[depot_code]],C:C,แผน68!D:D)</f>
        <v>20341909.600000001</v>
      </c>
      <c r="AN68">
        <v>6168.8</v>
      </c>
    </row>
    <row r="69" spans="1:40">
      <c r="A69" t="s">
        <v>111</v>
      </c>
      <c r="B69" t="s">
        <v>116</v>
      </c>
      <c r="C69" s="39">
        <v>537</v>
      </c>
      <c r="D69" cm="1">
        <f t="array" ref="D69">_xlfn.LET(_xlpm.result,INDEX(ระยะทาง!C:C, MATCH(TRIM(C69), TRIM(ระยะทาง!$A:$A), 0)),IF(ISNUMBER(SEARCH("-", _xlpm.result)), 0, _xlpm.result))</f>
        <v>1000.818</v>
      </c>
      <c r="E69" cm="1">
        <f t="array" ref="E69">_xlfn.LET(_xlpm.result,INDEX(ระยะทาง!D:D, MATCH(TRIM($C69), TRIM(ระยะทาง!$A:$A), 0)),IF(ISNUMBER(SEARCH("-", _xlpm.result)), 0, _xlpm.result))</f>
        <v>4099700049</v>
      </c>
      <c r="F69">
        <v>511187019</v>
      </c>
      <c r="G69">
        <v>2.2872580645161289</v>
      </c>
      <c r="H69">
        <v>664.37099999999998</v>
      </c>
      <c r="I69">
        <v>2</v>
      </c>
      <c r="J69">
        <v>8</v>
      </c>
      <c r="K69">
        <v>2.774193548387097</v>
      </c>
      <c r="L69">
        <v>3.5</v>
      </c>
      <c r="M69">
        <v>5</v>
      </c>
      <c r="N69">
        <v>26.048000000000002</v>
      </c>
      <c r="O69">
        <v>2</v>
      </c>
      <c r="P69">
        <v>8</v>
      </c>
      <c r="Q69">
        <v>4.117647058823529</v>
      </c>
      <c r="R69">
        <v>3.4318181818181817</v>
      </c>
      <c r="S69">
        <v>3.6124999999999998</v>
      </c>
      <c r="T69">
        <v>40.76</v>
      </c>
      <c r="U69">
        <v>0</v>
      </c>
      <c r="V69">
        <v>145334.03</v>
      </c>
      <c r="W69">
        <v>2446.8000000000002</v>
      </c>
      <c r="X69">
        <v>184332.43</v>
      </c>
      <c r="Y69">
        <v>60838.979999999996</v>
      </c>
      <c r="Z69">
        <v>403.32226284586375</v>
      </c>
      <c r="AA69">
        <v>1545.5835198230925</v>
      </c>
      <c r="AB69">
        <v>-1.3133766742770843E-2</v>
      </c>
      <c r="AC69">
        <v>23.268515410977002</v>
      </c>
      <c r="AD69">
        <f>D69*'ราคาต้นทุน (Asset)'!$E$1</f>
        <v>60049080</v>
      </c>
      <c r="AE69" s="1" cm="1">
        <f t="array" ref="AE69">_xlfn.LET(_xlpm.result,INDEX(ASSET!U:U, MATCH(TRIM($C69), TRIM(ASSET!$A:$A), 0)),IF(ISNUMBER(SEARCH("-", _xlpm.result)), 0, _xlpm.result))</f>
        <v>4199700</v>
      </c>
      <c r="AF69" s="66">
        <f>group_data_final[[#This Row],[ค่าบำรุงจุดกางเต็นท์]]/300000</f>
        <v>0</v>
      </c>
      <c r="AG69" s="1" cm="1">
        <f t="array" ref="AG69">_xlfn.LET(_xlpm.result,INDEX(ราคาค่าบำรุง!D:D, MATCH(TRIM($C69), TRIM(ราคาค่าบำรุง!$A:$A), 0)),IF(ISNUMBER(SEARCH("-", _xlpm.result)), 0, _xlpm.result))</f>
        <v>0</v>
      </c>
      <c r="AH69" s="66">
        <f>group_data_final[[#This Row],[ค่าบำรุงจุดพักรถ]]/300000</f>
        <v>2</v>
      </c>
      <c r="AI69" s="1" cm="1">
        <f t="array" ref="AI69">_xlfn.LET(_xlpm.result,INDEX(ราคาค่าบำรุง!F:F, MATCH(TRIM($C69), TRIM(ราคาค่าบำรุง!$A:$A), 0)),IF(ISNUMBER(SEARCH("-", _xlpm.result)), 0, _xlpm.result))</f>
        <v>600000</v>
      </c>
      <c r="AJ69" s="66">
        <f>group_data_final[[#This Row],[ค่าบำรุงภูมิสถาปัตย์]]/300000</f>
        <v>0</v>
      </c>
      <c r="AK69" s="1" cm="1">
        <f t="array" ref="AK69">_xlfn.LET(_xlpm.result,INDEX(ราคาค่าบำรุง!H:H, MATCH(TRIM($C69), TRIM(ราคาค่าบำรุง!$A:$A), 0)),IF(ISNUMBER(SEARCH("-", _xlpm.result)), 0, _xlpm.result))</f>
        <v>0</v>
      </c>
      <c r="AL69">
        <f t="shared" si="2"/>
        <v>2</v>
      </c>
      <c r="AM69" s="32">
        <f>_xlfn.XLOOKUP(group_data_final[[#This Row],[depot_code]],C:C,แผน68!D:D)</f>
        <v>22723883</v>
      </c>
      <c r="AN69">
        <v>7616</v>
      </c>
    </row>
    <row r="70" spans="1:40">
      <c r="A70" t="s">
        <v>111</v>
      </c>
      <c r="B70" t="s">
        <v>117</v>
      </c>
      <c r="C70" s="39">
        <v>539</v>
      </c>
      <c r="D70" cm="1">
        <f t="array" ref="D70">_xlfn.LET(_xlpm.result,INDEX(ระยะทาง!C:C, MATCH(TRIM(C70), TRIM(ระยะทาง!$A:$A), 0)),IF(ISNUMBER(SEARCH("-", _xlpm.result)), 0, _xlpm.result))</f>
        <v>600.63099999999997</v>
      </c>
      <c r="E70" cm="1">
        <f t="array" ref="E70">_xlfn.LET(_xlpm.result,INDEX(ระยะทาง!D:D, MATCH(TRIM($C70), TRIM(ระยะทาง!$A:$A), 0)),IF(ISNUMBER(SEARCH("-", _xlpm.result)), 0, _xlpm.result))</f>
        <v>3103376623</v>
      </c>
      <c r="F70">
        <v>369901814</v>
      </c>
      <c r="G70">
        <v>2.9716666666666662</v>
      </c>
      <c r="H70">
        <v>235.762</v>
      </c>
      <c r="I70">
        <v>2</v>
      </c>
      <c r="J70">
        <v>6</v>
      </c>
      <c r="K70">
        <v>2.6</v>
      </c>
      <c r="L70">
        <v>4.5</v>
      </c>
      <c r="M70">
        <v>5.5119999999999996</v>
      </c>
      <c r="N70">
        <v>1.925</v>
      </c>
      <c r="O70">
        <v>2</v>
      </c>
      <c r="P70">
        <v>7</v>
      </c>
      <c r="Q70">
        <v>4</v>
      </c>
      <c r="R70">
        <v>3.25</v>
      </c>
      <c r="S70">
        <v>2</v>
      </c>
      <c r="T70">
        <v>0</v>
      </c>
      <c r="U70">
        <v>0</v>
      </c>
      <c r="V70">
        <v>3784</v>
      </c>
      <c r="W70">
        <v>0</v>
      </c>
      <c r="X70">
        <v>7680.78</v>
      </c>
      <c r="Y70">
        <v>2338</v>
      </c>
      <c r="Z70">
        <v>347.1961137192414</v>
      </c>
      <c r="AA70">
        <v>3376.9819961649991</v>
      </c>
      <c r="AB70">
        <v>0.89962141638066773</v>
      </c>
      <c r="AC70">
        <v>160.33324001388149</v>
      </c>
      <c r="AD70">
        <f>D70*'ราคาต้นทุน (Asset)'!$E$1</f>
        <v>36037860</v>
      </c>
      <c r="AE70" s="1" cm="1">
        <f t="array" ref="AE70">_xlfn.LET(_xlpm.result,INDEX(ASSET!U:U, MATCH(TRIM($C70), TRIM(ASSET!$A:$A), 0)),IF(ISNUMBER(SEARCH("-", _xlpm.result)), 0, _xlpm.result))</f>
        <v>2134000</v>
      </c>
      <c r="AF70" s="66">
        <f>group_data_final[[#This Row],[ค่าบำรุงจุดกางเต็นท์]]/300000</f>
        <v>1</v>
      </c>
      <c r="AG70" s="1" cm="1">
        <f t="array" ref="AG70">_xlfn.LET(_xlpm.result,INDEX(ราคาค่าบำรุง!D:D, MATCH(TRIM($C70), TRIM(ราคาค่าบำรุง!$A:$A), 0)),IF(ISNUMBER(SEARCH("-", _xlpm.result)), 0, _xlpm.result))</f>
        <v>300000</v>
      </c>
      <c r="AH70" s="66">
        <f>group_data_final[[#This Row],[ค่าบำรุงจุดพักรถ]]/300000</f>
        <v>1</v>
      </c>
      <c r="AI70" s="1" cm="1">
        <f t="array" ref="AI70">_xlfn.LET(_xlpm.result,INDEX(ราคาค่าบำรุง!F:F, MATCH(TRIM($C70), TRIM(ราคาค่าบำรุง!$A:$A), 0)),IF(ISNUMBER(SEARCH("-", _xlpm.result)), 0, _xlpm.result))</f>
        <v>300000</v>
      </c>
      <c r="AJ70" s="66">
        <f>group_data_final[[#This Row],[ค่าบำรุงภูมิสถาปัตย์]]/300000</f>
        <v>0</v>
      </c>
      <c r="AK70" s="1" cm="1">
        <f t="array" ref="AK70">_xlfn.LET(_xlpm.result,INDEX(ราคาค่าบำรุง!H:H, MATCH(TRIM($C70), TRIM(ราคาค่าบำรุง!$A:$A), 0)),IF(ISNUMBER(SEARCH("-", _xlpm.result)), 0, _xlpm.result))</f>
        <v>0</v>
      </c>
      <c r="AL70">
        <f t="shared" si="2"/>
        <v>0</v>
      </c>
      <c r="AM70">
        <f>_xlfn.XLOOKUP(group_data_final[[#This Row],[depot_code]],C:C,แผน68!D:D)</f>
        <v>15582254</v>
      </c>
      <c r="AN70">
        <v>5569</v>
      </c>
    </row>
    <row r="71" spans="1:40">
      <c r="A71" t="s">
        <v>118</v>
      </c>
      <c r="B71" t="s">
        <v>119</v>
      </c>
      <c r="C71" s="39">
        <v>551</v>
      </c>
      <c r="D71" cm="1">
        <f t="array" ref="D71">_xlfn.LET(_xlpm.result,INDEX(ระยะทาง!C:C, MATCH(TRIM(C71), TRIM(ระยะทาง!$A:$A), 0)),IF(ISNUMBER(SEARCH("-", _xlpm.result)), 0, _xlpm.result))</f>
        <v>991.51599999999996</v>
      </c>
      <c r="E71" cm="1">
        <f t="array" ref="E71">_xlfn.LET(_xlpm.result,INDEX(ระยะทาง!D:D, MATCH(TRIM($C71), TRIM(ระยะทาง!$A:$A), 0)),IF(ISNUMBER(SEARCH("-", _xlpm.result)), 0, _xlpm.result))</f>
        <v>6805264816</v>
      </c>
      <c r="F71">
        <v>1130222640</v>
      </c>
      <c r="G71">
        <v>2.6383529411764703</v>
      </c>
      <c r="H71">
        <v>492.36799999999999</v>
      </c>
      <c r="I71">
        <v>1</v>
      </c>
      <c r="J71">
        <v>9</v>
      </c>
      <c r="K71">
        <v>3.1176470588235294</v>
      </c>
      <c r="L71">
        <v>3.5329999999999999</v>
      </c>
      <c r="M71">
        <v>5</v>
      </c>
      <c r="N71">
        <v>30.585000000000001</v>
      </c>
      <c r="O71">
        <v>2</v>
      </c>
      <c r="P71">
        <v>8</v>
      </c>
      <c r="Q71">
        <v>4.875</v>
      </c>
      <c r="R71">
        <v>3.4375</v>
      </c>
      <c r="S71">
        <v>4.5</v>
      </c>
      <c r="T71">
        <v>19768</v>
      </c>
      <c r="U71">
        <v>0</v>
      </c>
      <c r="V71">
        <v>44771.65</v>
      </c>
      <c r="W71">
        <v>696.50000000000011</v>
      </c>
      <c r="X71">
        <v>77473.118000000002</v>
      </c>
      <c r="Y71">
        <v>21612</v>
      </c>
      <c r="Z71">
        <v>379.73331868834862</v>
      </c>
      <c r="AA71">
        <v>15309.153210805205</v>
      </c>
      <c r="AB71">
        <v>0.44992277720313972</v>
      </c>
      <c r="AC71">
        <v>43.766056527665079</v>
      </c>
      <c r="AD71">
        <f>D71*'ราคาต้นทุน (Asset)'!$E$1</f>
        <v>59490960</v>
      </c>
      <c r="AE71" s="1" cm="1">
        <f t="array" ref="AE71">_xlfn.LET(_xlpm.result,INDEX(ASSET!U:U, MATCH(TRIM($C71), TRIM(ASSET!$A:$A), 0)),IF(ISNUMBER(SEARCH("-", _xlpm.result)), 0, _xlpm.result))</f>
        <v>5440800</v>
      </c>
      <c r="AF71" s="66">
        <f>group_data_final[[#This Row],[ค่าบำรุงจุดกางเต็นท์]]/300000</f>
        <v>0</v>
      </c>
      <c r="AG71" s="1" cm="1">
        <f t="array" ref="AG71">_xlfn.LET(_xlpm.result,INDEX(ราคาค่าบำรุง!D:D, MATCH(TRIM($C71), TRIM(ราคาค่าบำรุง!$A:$A), 0)),IF(ISNUMBER(SEARCH("-", _xlpm.result)), 0, _xlpm.result))</f>
        <v>0</v>
      </c>
      <c r="AH71" s="66">
        <f>group_data_final[[#This Row],[ค่าบำรุงจุดพักรถ]]/300000</f>
        <v>0</v>
      </c>
      <c r="AI71" s="1" cm="1">
        <f t="array" ref="AI71">_xlfn.LET(_xlpm.result,INDEX(ราคาค่าบำรุง!F:F, MATCH(TRIM($C71), TRIM(ราคาค่าบำรุง!$A:$A), 0)),IF(ISNUMBER(SEARCH("-", _xlpm.result)), 0, _xlpm.result))</f>
        <v>0</v>
      </c>
      <c r="AJ71" s="66">
        <f>group_data_final[[#This Row],[ค่าบำรุงภูมิสถาปัตย์]]/300000</f>
        <v>0</v>
      </c>
      <c r="AK71" s="1" cm="1">
        <f t="array" ref="AK71">_xlfn.LET(_xlpm.result,INDEX(ราคาค่าบำรุง!H:H, MATCH(TRIM($C71), TRIM(ราคาค่าบำรุง!$A:$A), 0)),IF(ISNUMBER(SEARCH("-", _xlpm.result)), 0, _xlpm.result))</f>
        <v>0</v>
      </c>
      <c r="AL71">
        <f t="shared" si="2"/>
        <v>0</v>
      </c>
      <c r="AM71" s="32">
        <f>_xlfn.XLOOKUP(group_data_final[[#This Row],[depot_code]],C:C,แผน68!D:D)</f>
        <v>11537730</v>
      </c>
      <c r="AN71">
        <v>6359.23</v>
      </c>
    </row>
    <row r="72" spans="1:40">
      <c r="A72" t="s">
        <v>118</v>
      </c>
      <c r="B72" t="s">
        <v>120</v>
      </c>
      <c r="C72" s="39">
        <v>552</v>
      </c>
      <c r="D72" cm="1">
        <f t="array" ref="D72">_xlfn.LET(_xlpm.result,INDEX(ระยะทาง!C:C, MATCH(TRIM(C72), TRIM(ระยะทาง!$A:$A), 0)),IF(ISNUMBER(SEARCH("-", _xlpm.result)), 0, _xlpm.result))</f>
        <v>780.41499999999996</v>
      </c>
      <c r="E72" cm="1">
        <f t="array" ref="E72">_xlfn.LET(_xlpm.result,INDEX(ระยะทาง!D:D, MATCH(TRIM($C72), TRIM(ระยะทาง!$A:$A), 0)),IF(ISNUMBER(SEARCH("-", _xlpm.result)), 0, _xlpm.result))</f>
        <v>3162766741</v>
      </c>
      <c r="F72">
        <v>1112140523</v>
      </c>
      <c r="G72">
        <v>2.4223076923076921</v>
      </c>
      <c r="H72">
        <v>435.029</v>
      </c>
      <c r="I72">
        <v>2</v>
      </c>
      <c r="J72">
        <v>6</v>
      </c>
      <c r="K72">
        <v>2.6666666666666665</v>
      </c>
      <c r="L72">
        <v>3.75</v>
      </c>
      <c r="M72">
        <v>5</v>
      </c>
      <c r="N72">
        <v>67.341999999999999</v>
      </c>
      <c r="O72">
        <v>4</v>
      </c>
      <c r="P72">
        <v>4</v>
      </c>
      <c r="Q72">
        <v>4</v>
      </c>
      <c r="R72">
        <v>3.5</v>
      </c>
      <c r="S72">
        <v>4.9000000000000004</v>
      </c>
      <c r="T72">
        <v>0</v>
      </c>
      <c r="U72">
        <v>0</v>
      </c>
      <c r="V72">
        <v>141015.9</v>
      </c>
      <c r="W72">
        <v>59.500000000000007</v>
      </c>
      <c r="X72">
        <v>167873.63</v>
      </c>
      <c r="Y72">
        <v>187248</v>
      </c>
      <c r="Z72">
        <v>112.48983157215449</v>
      </c>
      <c r="AA72">
        <v>407.10528049243641</v>
      </c>
      <c r="AB72">
        <v>6.1073177015397362E-3</v>
      </c>
      <c r="AC72">
        <v>10.094545549759552</v>
      </c>
      <c r="AD72">
        <f>D72*'ราคาต้นทุน (Asset)'!$E$1</f>
        <v>46824900</v>
      </c>
      <c r="AE72" s="1" cm="1">
        <f t="array" ref="AE72">_xlfn.LET(_xlpm.result,INDEX(ASSET!U:U, MATCH(TRIM($C72), TRIM(ASSET!$A:$A), 0)),IF(ISNUMBER(SEARCH("-", _xlpm.result)), 0, _xlpm.result))</f>
        <v>3297400</v>
      </c>
      <c r="AF72" s="66">
        <f>group_data_final[[#This Row],[ค่าบำรุงจุดกางเต็นท์]]/300000</f>
        <v>0</v>
      </c>
      <c r="AG72" s="1" cm="1">
        <f t="array" ref="AG72">_xlfn.LET(_xlpm.result,INDEX(ราคาค่าบำรุง!D:D, MATCH(TRIM($C72), TRIM(ราคาค่าบำรุง!$A:$A), 0)),IF(ISNUMBER(SEARCH("-", _xlpm.result)), 0, _xlpm.result))</f>
        <v>0</v>
      </c>
      <c r="AH72" s="66">
        <f>group_data_final[[#This Row],[ค่าบำรุงจุดพักรถ]]/300000</f>
        <v>2</v>
      </c>
      <c r="AI72" s="1" cm="1">
        <f t="array" ref="AI72">_xlfn.LET(_xlpm.result,INDEX(ราคาค่าบำรุง!F:F, MATCH(TRIM($C72), TRIM(ราคาค่าบำรุง!$A:$A), 0)),IF(ISNUMBER(SEARCH("-", _xlpm.result)), 0, _xlpm.result))</f>
        <v>600000</v>
      </c>
      <c r="AJ72" s="66">
        <f>group_data_final[[#This Row],[ค่าบำรุงภูมิสถาปัตย์]]/300000</f>
        <v>0</v>
      </c>
      <c r="AK72" s="1" cm="1">
        <f t="array" ref="AK72">_xlfn.LET(_xlpm.result,INDEX(ราคาค่าบำรุง!H:H, MATCH(TRIM($C72), TRIM(ราคาค่าบำรุง!$A:$A), 0)),IF(ISNUMBER(SEARCH("-", _xlpm.result)), 0, _xlpm.result))</f>
        <v>0</v>
      </c>
      <c r="AL72">
        <f t="shared" si="2"/>
        <v>0</v>
      </c>
      <c r="AM72">
        <f>_xlfn.XLOOKUP(group_data_final[[#This Row],[depot_code]],C:C,แผน68!D:D)</f>
        <v>19196889</v>
      </c>
      <c r="AN72">
        <v>7181</v>
      </c>
    </row>
    <row r="73" spans="1:40">
      <c r="A73" t="s">
        <v>118</v>
      </c>
      <c r="B73" t="s">
        <v>121</v>
      </c>
      <c r="C73" s="39">
        <v>554</v>
      </c>
      <c r="D73" cm="1">
        <f t="array" ref="D73">_xlfn.LET(_xlpm.result,INDEX(ระยะทาง!C:C, MATCH(TRIM(C73), TRIM(ระยะทาง!$A:$A), 0)),IF(ISNUMBER(SEARCH("-", _xlpm.result)), 0, _xlpm.result))</f>
        <v>813.49900000000002</v>
      </c>
      <c r="E73" cm="1">
        <f t="array" ref="E73">_xlfn.LET(_xlpm.result,INDEX(ระยะทาง!D:D, MATCH(TRIM($C73), TRIM(ระยะทาง!$A:$A), 0)),IF(ISNUMBER(SEARCH("-", _xlpm.result)), 0, _xlpm.result))</f>
        <v>1741306985</v>
      </c>
      <c r="F73">
        <v>420939666</v>
      </c>
      <c r="G73">
        <v>2.516923076923077</v>
      </c>
      <c r="H73">
        <v>432.06200000000001</v>
      </c>
      <c r="I73">
        <v>2</v>
      </c>
      <c r="J73">
        <v>6</v>
      </c>
      <c r="K73">
        <v>2.6153846153846154</v>
      </c>
      <c r="L73">
        <v>3.9089999999999998</v>
      </c>
      <c r="M73">
        <v>5</v>
      </c>
      <c r="N73">
        <v>19.146999999999998</v>
      </c>
      <c r="O73">
        <v>2</v>
      </c>
      <c r="P73">
        <v>6</v>
      </c>
      <c r="Q73">
        <v>3.5</v>
      </c>
      <c r="R73">
        <v>3</v>
      </c>
      <c r="S73">
        <v>5</v>
      </c>
      <c r="T73">
        <v>37317</v>
      </c>
      <c r="U73">
        <v>0</v>
      </c>
      <c r="V73">
        <v>47183.28</v>
      </c>
      <c r="W73">
        <v>554932.5</v>
      </c>
      <c r="X73">
        <v>117604.535</v>
      </c>
      <c r="Y73">
        <v>90622</v>
      </c>
      <c r="Z73">
        <v>287.75691542662906</v>
      </c>
      <c r="AA73">
        <v>1771.185244705315</v>
      </c>
      <c r="AB73">
        <v>1.1174728786574065E-2</v>
      </c>
      <c r="AC73">
        <v>29.899734246189919</v>
      </c>
      <c r="AD73">
        <f>D73*'ราคาต้นทุน (Asset)'!$E$1</f>
        <v>48809940</v>
      </c>
      <c r="AE73" s="1" cm="1">
        <f t="array" ref="AE73">_xlfn.LET(_xlpm.result,INDEX(ASSET!U:U, MATCH(TRIM($C73), TRIM(ASSET!$A:$A), 0)),IF(ISNUMBER(SEARCH("-", _xlpm.result)), 0, _xlpm.result))</f>
        <v>3297500</v>
      </c>
      <c r="AF73" s="66">
        <f>group_data_final[[#This Row],[ค่าบำรุงจุดกางเต็นท์]]/300000</f>
        <v>0</v>
      </c>
      <c r="AG73" s="1" cm="1">
        <f t="array" ref="AG73">_xlfn.LET(_xlpm.result,INDEX(ราคาค่าบำรุง!D:D, MATCH(TRIM($C73), TRIM(ราคาค่าบำรุง!$A:$A), 0)),IF(ISNUMBER(SEARCH("-", _xlpm.result)), 0, _xlpm.result))</f>
        <v>0</v>
      </c>
      <c r="AH73" s="66">
        <f>group_data_final[[#This Row],[ค่าบำรุงจุดพักรถ]]/300000</f>
        <v>2</v>
      </c>
      <c r="AI73" s="1" cm="1">
        <f t="array" ref="AI73">_xlfn.LET(_xlpm.result,INDEX(ราคาค่าบำรุง!F:F, MATCH(TRIM($C73), TRIM(ราคาค่าบำรุง!$A:$A), 0)),IF(ISNUMBER(SEARCH("-", _xlpm.result)), 0, _xlpm.result))</f>
        <v>600000</v>
      </c>
      <c r="AJ73" s="66">
        <f>group_data_final[[#This Row],[ค่าบำรุงภูมิสถาปัตย์]]/300000</f>
        <v>1</v>
      </c>
      <c r="AK73" s="1" cm="1">
        <f t="array" ref="AK73">_xlfn.LET(_xlpm.result,INDEX(ราคาค่าบำรุง!H:H, MATCH(TRIM($C73), TRIM(ราคาค่าบำรุง!$A:$A), 0)),IF(ISNUMBER(SEARCH("-", _xlpm.result)), 0, _xlpm.result))</f>
        <v>300000</v>
      </c>
      <c r="AL73">
        <f t="shared" si="2"/>
        <v>0</v>
      </c>
      <c r="AM73">
        <f>_xlfn.XLOOKUP(group_data_final[[#This Row],[depot_code]],C:C,แผน68!D:D)</f>
        <v>27207523.800000001</v>
      </c>
      <c r="AN73">
        <v>4814.6000000000004</v>
      </c>
    </row>
    <row r="74" spans="1:40">
      <c r="A74" t="s">
        <v>118</v>
      </c>
      <c r="B74" t="s">
        <v>122</v>
      </c>
      <c r="C74" s="39">
        <v>555</v>
      </c>
      <c r="D74" cm="1">
        <f t="array" ref="D74">_xlfn.LET(_xlpm.result,INDEX(ระยะทาง!C:C, MATCH(TRIM(C74), TRIM(ระยะทาง!$A:$A), 0)),IF(ISNUMBER(SEARCH("-", _xlpm.result)), 0, _xlpm.result))</f>
        <v>575.20000000000005</v>
      </c>
      <c r="E74" cm="1">
        <f t="array" ref="E74">_xlfn.LET(_xlpm.result,INDEX(ระยะทาง!D:D, MATCH(TRIM($C74), TRIM(ระยะทาง!$A:$A), 0)),IF(ISNUMBER(SEARCH("-", _xlpm.result)), 0, _xlpm.result))</f>
        <v>2088006501</v>
      </c>
      <c r="F74">
        <v>2056826667</v>
      </c>
      <c r="G74">
        <v>2.5479166666666666</v>
      </c>
      <c r="H74">
        <v>273.387</v>
      </c>
      <c r="I74">
        <v>2</v>
      </c>
      <c r="J74">
        <v>6</v>
      </c>
      <c r="K74">
        <v>2.3333333333333335</v>
      </c>
      <c r="L74">
        <v>3.5</v>
      </c>
      <c r="M74">
        <v>4.468</v>
      </c>
      <c r="N74">
        <v>0</v>
      </c>
      <c r="T74">
        <v>0</v>
      </c>
      <c r="U74">
        <v>0</v>
      </c>
      <c r="V74">
        <v>3555.0600000000004</v>
      </c>
      <c r="W74">
        <v>406</v>
      </c>
      <c r="X74">
        <v>1210</v>
      </c>
      <c r="Y74">
        <v>2562.509</v>
      </c>
      <c r="Z74">
        <v>452.22131580670538</v>
      </c>
      <c r="AA74">
        <v>7765.9358948110885</v>
      </c>
      <c r="AB74">
        <v>-0.29094720861691542</v>
      </c>
      <c r="AC74">
        <v>65.468116171883167</v>
      </c>
      <c r="AD74">
        <f>D74*'ราคาต้นทุน (Asset)'!$E$1</f>
        <v>34512000</v>
      </c>
      <c r="AE74" s="1" cm="1">
        <f t="array" ref="AE74">_xlfn.LET(_xlpm.result,INDEX(ASSET!U:U, MATCH(TRIM($C74), TRIM(ASSET!$A:$A), 0)),IF(ISNUMBER(SEARCH("-", _xlpm.result)), 0, _xlpm.result))</f>
        <v>1639700</v>
      </c>
      <c r="AF74" s="66">
        <f>group_data_final[[#This Row],[ค่าบำรุงจุดกางเต็นท์]]/300000</f>
        <v>0</v>
      </c>
      <c r="AG74" s="1" cm="1">
        <f t="array" ref="AG74">_xlfn.LET(_xlpm.result,INDEX(ราคาค่าบำรุง!D:D, MATCH(TRIM($C74), TRIM(ราคาค่าบำรุง!$A:$A), 0)),IF(ISNUMBER(SEARCH("-", _xlpm.result)), 0, _xlpm.result))</f>
        <v>0</v>
      </c>
      <c r="AH74" s="66">
        <f>group_data_final[[#This Row],[ค่าบำรุงจุดพักรถ]]/300000</f>
        <v>2</v>
      </c>
      <c r="AI74" s="1" cm="1">
        <f t="array" ref="AI74">_xlfn.LET(_xlpm.result,INDEX(ราคาค่าบำรุง!F:F, MATCH(TRIM($C74), TRIM(ราคาค่าบำรุง!$A:$A), 0)),IF(ISNUMBER(SEARCH("-", _xlpm.result)), 0, _xlpm.result))</f>
        <v>600000</v>
      </c>
      <c r="AJ74" s="66">
        <f>group_data_final[[#This Row],[ค่าบำรุงภูมิสถาปัตย์]]/300000</f>
        <v>0</v>
      </c>
      <c r="AK74" s="1" cm="1">
        <f t="array" ref="AK74">_xlfn.LET(_xlpm.result,INDEX(ราคาค่าบำรุง!H:H, MATCH(TRIM($C74), TRIM(ราคาค่าบำรุง!$A:$A), 0)),IF(ISNUMBER(SEARCH("-", _xlpm.result)), 0, _xlpm.result))</f>
        <v>0</v>
      </c>
      <c r="AL74">
        <f t="shared" si="2"/>
        <v>0</v>
      </c>
      <c r="AM74">
        <f>_xlfn.XLOOKUP(group_data_final[[#This Row],[depot_code]],C:C,แผน68!D:D)</f>
        <v>8083728</v>
      </c>
      <c r="AN74">
        <v>3574.7</v>
      </c>
    </row>
    <row r="75" spans="1:40">
      <c r="A75" t="s">
        <v>94</v>
      </c>
      <c r="B75" t="s">
        <v>123</v>
      </c>
      <c r="C75" s="39">
        <v>557</v>
      </c>
      <c r="D75" cm="1">
        <f t="array" ref="D75">_xlfn.LET(_xlpm.result,INDEX(ระยะทาง!C:C, MATCH(TRIM(C75), TRIM(ระยะทาง!$A:$A), 0)),IF(ISNUMBER(SEARCH("-", _xlpm.result)), 0, _xlpm.result))</f>
        <v>590.94799999999998</v>
      </c>
      <c r="E75" cm="1">
        <f t="array" ref="E75">_xlfn.LET(_xlpm.result,INDEX(ระยะทาง!D:D, MATCH(TRIM($C75), TRIM(ระยะทาง!$A:$A), 0)),IF(ISNUMBER(SEARCH("-", _xlpm.result)), 0, _xlpm.result))</f>
        <v>11084323979</v>
      </c>
      <c r="F75">
        <v>1152557666</v>
      </c>
      <c r="G75">
        <v>2.4035833333333332</v>
      </c>
      <c r="H75">
        <v>200.85399999999998</v>
      </c>
      <c r="I75">
        <v>1</v>
      </c>
      <c r="J75">
        <v>4</v>
      </c>
      <c r="K75">
        <v>2.8333333333333335</v>
      </c>
      <c r="L75">
        <v>3.5</v>
      </c>
      <c r="M75">
        <v>5</v>
      </c>
      <c r="N75">
        <v>27.724</v>
      </c>
      <c r="O75">
        <v>1</v>
      </c>
      <c r="P75">
        <v>6</v>
      </c>
      <c r="Q75">
        <v>4</v>
      </c>
      <c r="R75">
        <v>3.5</v>
      </c>
      <c r="S75">
        <v>5</v>
      </c>
      <c r="T75">
        <v>0</v>
      </c>
      <c r="U75">
        <v>0</v>
      </c>
      <c r="V75">
        <v>56404.819499999998</v>
      </c>
      <c r="W75">
        <v>11892.4</v>
      </c>
      <c r="X75">
        <v>105120.969</v>
      </c>
      <c r="Y75">
        <v>53196</v>
      </c>
      <c r="Z75">
        <v>71.460185374548033</v>
      </c>
      <c r="AA75">
        <v>210.32484846205705</v>
      </c>
      <c r="AB75">
        <v>8.8641566224545401E-2</v>
      </c>
      <c r="AC75">
        <v>11.616771187094878</v>
      </c>
      <c r="AD75">
        <f>D75*'ราคาต้นทุน (Asset)'!$E$1</f>
        <v>35456880</v>
      </c>
      <c r="AE75" s="1" cm="1">
        <f t="array" ref="AE75">_xlfn.LET(_xlpm.result,INDEX(ASSET!U:U, MATCH(TRIM($C75), TRIM(ASSET!$A:$A), 0)),IF(ISNUMBER(SEARCH("-", _xlpm.result)), 0, _xlpm.result))</f>
        <v>2839800</v>
      </c>
      <c r="AF75" s="66">
        <f>group_data_final[[#This Row],[ค่าบำรุงจุดกางเต็นท์]]/300000</f>
        <v>0</v>
      </c>
      <c r="AG75" s="1" cm="1">
        <f t="array" ref="AG75">_xlfn.LET(_xlpm.result,INDEX(ราคาค่าบำรุง!D:D, MATCH(TRIM($C75), TRIM(ราคาค่าบำรุง!$A:$A), 0)),IF(ISNUMBER(SEARCH("-", _xlpm.result)), 0, _xlpm.result))</f>
        <v>0</v>
      </c>
      <c r="AH75" s="66">
        <f>group_data_final[[#This Row],[ค่าบำรุงจุดพักรถ]]/300000</f>
        <v>1</v>
      </c>
      <c r="AI75" s="1" cm="1">
        <f t="array" ref="AI75">_xlfn.LET(_xlpm.result,INDEX(ราคาค่าบำรุง!F:F, MATCH(TRIM($C75), TRIM(ราคาค่าบำรุง!$A:$A), 0)),IF(ISNUMBER(SEARCH("-", _xlpm.result)), 0, _xlpm.result))</f>
        <v>300000</v>
      </c>
      <c r="AJ75" s="66">
        <f>group_data_final[[#This Row],[ค่าบำรุงภูมิสถาปัตย์]]/300000</f>
        <v>0</v>
      </c>
      <c r="AK75" s="1" cm="1">
        <f t="array" ref="AK75">_xlfn.LET(_xlpm.result,INDEX(ราคาค่าบำรุง!H:H, MATCH(TRIM($C75), TRIM(ราคาค่าบำรุง!$A:$A), 0)),IF(ISNUMBER(SEARCH("-", _xlpm.result)), 0, _xlpm.result))</f>
        <v>0</v>
      </c>
      <c r="AL75">
        <f t="shared" si="2"/>
        <v>0</v>
      </c>
      <c r="AM75">
        <f>_xlfn.XLOOKUP(group_data_final[[#This Row],[depot_code]],C:C,แผน68!D:D)</f>
        <v>10721782.49</v>
      </c>
      <c r="AN75">
        <v>7473.51</v>
      </c>
    </row>
    <row r="76" spans="1:40">
      <c r="A76" t="s">
        <v>94</v>
      </c>
      <c r="B76" t="s">
        <v>124</v>
      </c>
      <c r="C76" s="39">
        <v>558</v>
      </c>
      <c r="D76" cm="1">
        <f t="array" ref="D76">_xlfn.LET(_xlpm.result,INDEX(ระยะทาง!C:C, MATCH(TRIM(C76), TRIM(ระยะทาง!$A:$A), 0)),IF(ISNUMBER(SEARCH("-", _xlpm.result)), 0, _xlpm.result))</f>
        <v>556.34</v>
      </c>
      <c r="E76" cm="1">
        <f t="array" ref="E76">_xlfn.LET(_xlpm.result,INDEX(ระยะทาง!D:D, MATCH(TRIM($C76), TRIM(ระยะทาง!$A:$A), 0)),IF(ISNUMBER(SEARCH("-", _xlpm.result)), 0, _xlpm.result))</f>
        <v>3153060566</v>
      </c>
      <c r="F76">
        <v>2451085017</v>
      </c>
      <c r="G76">
        <v>2.4647999999999999</v>
      </c>
      <c r="H76">
        <v>452.89800000000002</v>
      </c>
      <c r="I76">
        <v>2</v>
      </c>
      <c r="J76">
        <v>4</v>
      </c>
      <c r="K76">
        <v>2.4666666666666668</v>
      </c>
      <c r="L76">
        <v>3.5</v>
      </c>
      <c r="M76">
        <v>5.0410000000000004</v>
      </c>
      <c r="N76">
        <v>0</v>
      </c>
      <c r="T76">
        <v>0</v>
      </c>
      <c r="U76">
        <v>1310</v>
      </c>
      <c r="V76">
        <v>13383.75</v>
      </c>
      <c r="W76">
        <v>3345.8</v>
      </c>
      <c r="X76">
        <v>38438.399999999994</v>
      </c>
      <c r="Y76">
        <v>64819</v>
      </c>
      <c r="Z76">
        <v>264.43764690158412</v>
      </c>
      <c r="AA76">
        <v>5862.3219760929223</v>
      </c>
      <c r="AB76">
        <v>0.32503176715951443</v>
      </c>
      <c r="AC76">
        <v>71.155075349738738</v>
      </c>
      <c r="AD76">
        <f>D76*'ราคาต้นทุน (Asset)'!$E$1</f>
        <v>33380400.000000004</v>
      </c>
      <c r="AE76" s="1" cm="1">
        <f t="array" ref="AE76">_xlfn.LET(_xlpm.result,INDEX(ASSET!U:U, MATCH(TRIM($C76), TRIM(ASSET!$A:$A), 0)),IF(ISNUMBER(SEARCH("-", _xlpm.result)), 0, _xlpm.result))</f>
        <v>1340300</v>
      </c>
      <c r="AF76" s="66">
        <f>group_data_final[[#This Row],[ค่าบำรุงจุดกางเต็นท์]]/300000</f>
        <v>4</v>
      </c>
      <c r="AG76" s="1" cm="1">
        <f t="array" ref="AG76">_xlfn.LET(_xlpm.result,INDEX(ราคาค่าบำรุง!D:D, MATCH(TRIM($C76), TRIM(ราคาค่าบำรุง!$A:$A), 0)),IF(ISNUMBER(SEARCH("-", _xlpm.result)), 0, _xlpm.result))</f>
        <v>1200000</v>
      </c>
      <c r="AH76" s="66">
        <f>group_data_final[[#This Row],[ค่าบำรุงจุดพักรถ]]/300000</f>
        <v>0</v>
      </c>
      <c r="AI76" s="1" cm="1">
        <f t="array" ref="AI76">_xlfn.LET(_xlpm.result,INDEX(ราคาค่าบำรุง!F:F, MATCH(TRIM($C76), TRIM(ราคาค่าบำรุง!$A:$A), 0)),IF(ISNUMBER(SEARCH("-", _xlpm.result)), 0, _xlpm.result))</f>
        <v>0</v>
      </c>
      <c r="AJ76" s="66">
        <f>group_data_final[[#This Row],[ค่าบำรุงภูมิสถาปัตย์]]/300000</f>
        <v>1</v>
      </c>
      <c r="AK76" s="1" cm="1">
        <f t="array" ref="AK76">_xlfn.LET(_xlpm.result,INDEX(ราคาค่าบำรุง!H:H, MATCH(TRIM($C76), TRIM(ราคาค่าบำรุง!$A:$A), 0)),IF(ISNUMBER(SEARCH("-", _xlpm.result)), 0, _xlpm.result))</f>
        <v>300000</v>
      </c>
      <c r="AL76">
        <f t="shared" si="2"/>
        <v>0</v>
      </c>
      <c r="AM76">
        <f>_xlfn.XLOOKUP(group_data_final[[#This Row],[depot_code]],C:C,แผน68!D:D)</f>
        <v>13851183.5</v>
      </c>
      <c r="AN76">
        <v>5151</v>
      </c>
    </row>
    <row r="77" spans="1:40">
      <c r="A77" t="s">
        <v>125</v>
      </c>
      <c r="B77" t="s">
        <v>126</v>
      </c>
      <c r="C77" s="39">
        <v>611</v>
      </c>
      <c r="D77" cm="1">
        <f t="array" ref="D77">_xlfn.LET(_xlpm.result,INDEX(ระยะทาง!C:C, MATCH(TRIM(C77), TRIM(ระยะทาง!$A:$A), 0)),IF(ISNUMBER(SEARCH("-", _xlpm.result)), 0, _xlpm.result))</f>
        <v>1080.326</v>
      </c>
      <c r="E77" cm="1">
        <f t="array" ref="E77">_xlfn.LET(_xlpm.result,INDEX(ระยะทาง!D:D, MATCH(TRIM($C77), TRIM(ระยะทาง!$A:$A), 0)),IF(ISNUMBER(SEARCH("-", _xlpm.result)), 0, _xlpm.result))</f>
        <v>4375632215</v>
      </c>
      <c r="F77">
        <v>344806442</v>
      </c>
      <c r="G77">
        <v>2.4710526315789476</v>
      </c>
      <c r="H77">
        <v>502.00700000000001</v>
      </c>
      <c r="I77">
        <v>2</v>
      </c>
      <c r="J77">
        <v>8</v>
      </c>
      <c r="K77">
        <v>3.5555555555555554</v>
      </c>
      <c r="L77">
        <v>3.5</v>
      </c>
      <c r="M77">
        <v>5</v>
      </c>
      <c r="N77">
        <v>111.65</v>
      </c>
      <c r="O77">
        <v>2</v>
      </c>
      <c r="P77">
        <v>8</v>
      </c>
      <c r="Q77">
        <v>4.333333333333333</v>
      </c>
      <c r="R77">
        <v>3.46875</v>
      </c>
      <c r="S77">
        <v>4.173</v>
      </c>
      <c r="T77">
        <v>0</v>
      </c>
      <c r="U77">
        <v>0</v>
      </c>
      <c r="V77">
        <v>114119.55999999998</v>
      </c>
      <c r="W77">
        <v>19813.099999999999</v>
      </c>
      <c r="X77">
        <v>165492.69900000002</v>
      </c>
      <c r="Y77">
        <v>60872.249000000011</v>
      </c>
      <c r="Z77">
        <v>175.81304837135673</v>
      </c>
      <c r="AA77">
        <v>90.30954093067831</v>
      </c>
      <c r="AB77">
        <v>-0.18076193253801182</v>
      </c>
      <c r="AC77">
        <v>15.111283572499419</v>
      </c>
      <c r="AD77">
        <f>D77*'ราคาต้นทุน (Asset)'!$E$1</f>
        <v>64819560</v>
      </c>
      <c r="AE77" s="1" cm="1">
        <f t="array" ref="AE77">_xlfn.LET(_xlpm.result,INDEX(ASSET!U:U, MATCH(TRIM($C77), TRIM(ASSET!$A:$A), 0)),IF(ISNUMBER(SEARCH("-", _xlpm.result)), 0, _xlpm.result))</f>
        <v>5541500</v>
      </c>
      <c r="AF77" s="66">
        <f>group_data_final[[#This Row],[ค่าบำรุงจุดกางเต็นท์]]/300000</f>
        <v>0</v>
      </c>
      <c r="AG77" s="1" cm="1">
        <f t="array" ref="AG77">_xlfn.LET(_xlpm.result,INDEX(ราคาค่าบำรุง!D:D, MATCH(TRIM($C77), TRIM(ราคาค่าบำรุง!$A:$A), 0)),IF(ISNUMBER(SEARCH("-", _xlpm.result)), 0, _xlpm.result))</f>
        <v>0</v>
      </c>
      <c r="AH77" s="66">
        <f>group_data_final[[#This Row],[ค่าบำรุงจุดพักรถ]]/300000</f>
        <v>4</v>
      </c>
      <c r="AI77" s="1" cm="1">
        <f t="array" ref="AI77">_xlfn.LET(_xlpm.result,INDEX(ราคาค่าบำรุง!F:F, MATCH(TRIM($C77), TRIM(ราคาค่าบำรุง!$A:$A), 0)),IF(ISNUMBER(SEARCH("-", _xlpm.result)), 0, _xlpm.result))</f>
        <v>1200000</v>
      </c>
      <c r="AJ77" s="66">
        <f>group_data_final[[#This Row],[ค่าบำรุงภูมิสถาปัตย์]]/300000</f>
        <v>2</v>
      </c>
      <c r="AK77" s="1" cm="1">
        <f t="array" ref="AK77">_xlfn.LET(_xlpm.result,INDEX(ราคาค่าบำรุง!H:H, MATCH(TRIM($C77), TRIM(ราคาค่าบำรุง!$A:$A), 0)),IF(ISNUMBER(SEARCH("-", _xlpm.result)), 0, _xlpm.result))</f>
        <v>600000</v>
      </c>
      <c r="AL77">
        <f t="shared" si="2"/>
        <v>0</v>
      </c>
      <c r="AM77">
        <f>_xlfn.XLOOKUP(group_data_final[[#This Row],[depot_code]],C:C,แผน68!D:D)</f>
        <v>13414190</v>
      </c>
      <c r="AN77">
        <v>6868.54</v>
      </c>
    </row>
    <row r="78" spans="1:40">
      <c r="A78" t="s">
        <v>125</v>
      </c>
      <c r="B78" t="s">
        <v>127</v>
      </c>
      <c r="C78" s="39">
        <v>612</v>
      </c>
      <c r="D78" cm="1">
        <f t="array" ref="D78">_xlfn.LET(_xlpm.result,INDEX(ระยะทาง!C:C, MATCH(TRIM(C78), TRIM(ระยะทาง!$A:$A), 0)),IF(ISNUMBER(SEARCH("-", _xlpm.result)), 0, _xlpm.result))</f>
        <v>1055.279</v>
      </c>
      <c r="E78" cm="1">
        <f t="array" ref="E78">_xlfn.LET(_xlpm.result,INDEX(ระยะทาง!D:D, MATCH(TRIM($C78), TRIM(ระยะทาง!$A:$A), 0)),IF(ISNUMBER(SEARCH("-", _xlpm.result)), 0, _xlpm.result))</f>
        <v>1972540463</v>
      </c>
      <c r="F78">
        <v>232449548</v>
      </c>
      <c r="G78">
        <v>3.0019411764705883</v>
      </c>
      <c r="H78">
        <v>474.97500000000002</v>
      </c>
      <c r="I78">
        <v>1</v>
      </c>
      <c r="J78">
        <v>8</v>
      </c>
      <c r="K78">
        <v>4.5384615384615383</v>
      </c>
      <c r="L78">
        <v>3.5</v>
      </c>
      <c r="M78">
        <v>5.5</v>
      </c>
      <c r="N78">
        <v>185.73099999999999</v>
      </c>
      <c r="O78">
        <v>1</v>
      </c>
      <c r="P78">
        <v>9</v>
      </c>
      <c r="Q78">
        <v>4.2857142857142856</v>
      </c>
      <c r="R78">
        <v>3.5</v>
      </c>
      <c r="S78">
        <v>5.25</v>
      </c>
      <c r="T78">
        <v>0</v>
      </c>
      <c r="U78">
        <v>120000</v>
      </c>
      <c r="V78">
        <v>105544.62000000001</v>
      </c>
      <c r="W78">
        <v>0</v>
      </c>
      <c r="X78">
        <v>129374.7</v>
      </c>
      <c r="Y78">
        <v>173833.62199999997</v>
      </c>
      <c r="Z78">
        <v>255.58275698071546</v>
      </c>
      <c r="AA78">
        <v>606.53479603795279</v>
      </c>
      <c r="AB78">
        <v>-0.11203739091685128</v>
      </c>
      <c r="AC78">
        <v>9.6135368935478613</v>
      </c>
      <c r="AD78">
        <f>D78*'ราคาต้นทุน (Asset)'!$E$1</f>
        <v>63316740</v>
      </c>
      <c r="AE78" s="1" cm="1">
        <f t="array" ref="AE78">_xlfn.LET(_xlpm.result,INDEX(ASSET!U:U, MATCH(TRIM($C78), TRIM(ASSET!$A:$A), 0)),IF(ISNUMBER(SEARCH("-", _xlpm.result)), 0, _xlpm.result))</f>
        <v>3197800</v>
      </c>
      <c r="AF78" s="66">
        <f>group_data_final[[#This Row],[ค่าบำรุงจุดกางเต็นท์]]/300000</f>
        <v>0</v>
      </c>
      <c r="AG78" s="1" cm="1">
        <f t="array" ref="AG78">_xlfn.LET(_xlpm.result,INDEX(ราคาค่าบำรุง!D:D, MATCH(TRIM($C78), TRIM(ราคาค่าบำรุง!$A:$A), 0)),IF(ISNUMBER(SEARCH("-", _xlpm.result)), 0, _xlpm.result))</f>
        <v>0</v>
      </c>
      <c r="AH78" s="66">
        <f>group_data_final[[#This Row],[ค่าบำรุงจุดพักรถ]]/300000</f>
        <v>2</v>
      </c>
      <c r="AI78" s="1" cm="1">
        <f t="array" ref="AI78">_xlfn.LET(_xlpm.result,INDEX(ราคาค่าบำรุง!F:F, MATCH(TRIM($C78), TRIM(ราคาค่าบำรุง!$A:$A), 0)),IF(ISNUMBER(SEARCH("-", _xlpm.result)), 0, _xlpm.result))</f>
        <v>600000</v>
      </c>
      <c r="AJ78" s="66">
        <f>group_data_final[[#This Row],[ค่าบำรุงภูมิสถาปัตย์]]/300000</f>
        <v>0</v>
      </c>
      <c r="AK78" s="1" cm="1">
        <f t="array" ref="AK78">_xlfn.LET(_xlpm.result,INDEX(ราคาค่าบำรุง!H:H, MATCH(TRIM($C78), TRIM(ราคาค่าบำรุง!$A:$A), 0)),IF(ISNUMBER(SEARCH("-", _xlpm.result)), 0, _xlpm.result))</f>
        <v>0</v>
      </c>
      <c r="AL78">
        <f t="shared" si="2"/>
        <v>0</v>
      </c>
      <c r="AM78">
        <f>_xlfn.XLOOKUP(group_data_final[[#This Row],[depot_code]],C:C,แผน68!D:D)</f>
        <v>4604279.46</v>
      </c>
      <c r="AN78">
        <v>12392.234</v>
      </c>
    </row>
    <row r="79" spans="1:40">
      <c r="A79" t="s">
        <v>125</v>
      </c>
      <c r="B79" t="s">
        <v>128</v>
      </c>
      <c r="C79" s="39">
        <v>614</v>
      </c>
      <c r="D79" cm="1">
        <f t="array" ref="D79">_xlfn.LET(_xlpm.result,INDEX(ระยะทาง!C:C, MATCH(TRIM(C79), TRIM(ระยะทาง!$A:$A), 0)),IF(ISNUMBER(SEARCH("-", _xlpm.result)), 0, _xlpm.result))</f>
        <v>944.63400000000001</v>
      </c>
      <c r="E79" cm="1">
        <f t="array" ref="E79">_xlfn.LET(_xlpm.result,INDEX(ระยะทาง!D:D, MATCH(TRIM($C79), TRIM(ระยะทาง!$A:$A), 0)),IF(ISNUMBER(SEARCH("-", _xlpm.result)), 0, _xlpm.result))</f>
        <v>2242280309</v>
      </c>
      <c r="F79">
        <v>185693174</v>
      </c>
      <c r="G79">
        <v>2.6190000000000002</v>
      </c>
      <c r="H79">
        <v>589.99099999999999</v>
      </c>
      <c r="I79">
        <v>1</v>
      </c>
      <c r="J79">
        <v>8</v>
      </c>
      <c r="K79">
        <v>3.7</v>
      </c>
      <c r="L79">
        <v>3.5</v>
      </c>
      <c r="M79">
        <v>5</v>
      </c>
      <c r="N79">
        <v>118.87899999999998</v>
      </c>
      <c r="O79">
        <v>4</v>
      </c>
      <c r="P79">
        <v>9</v>
      </c>
      <c r="Q79">
        <v>4.5555555555555554</v>
      </c>
      <c r="R79">
        <v>3.5</v>
      </c>
      <c r="S79">
        <v>4.4000000000000004</v>
      </c>
      <c r="T79">
        <v>68554.399999999994</v>
      </c>
      <c r="U79">
        <v>0</v>
      </c>
      <c r="V79">
        <v>56317.86</v>
      </c>
      <c r="W79">
        <v>680.8</v>
      </c>
      <c r="X79">
        <v>117565.26599999992</v>
      </c>
      <c r="Y79">
        <v>71904.27</v>
      </c>
      <c r="Z79">
        <v>222.34114811427372</v>
      </c>
      <c r="AA79">
        <v>675.72059292148549</v>
      </c>
      <c r="AB79">
        <v>6.3788891893364105E-2</v>
      </c>
      <c r="AC79">
        <v>11.492167102456099</v>
      </c>
      <c r="AD79">
        <f>D79*'ราคาต้นทุน (Asset)'!$E$1</f>
        <v>56678040</v>
      </c>
      <c r="AE79" s="1" cm="1">
        <f t="array" ref="AE79">_xlfn.LET(_xlpm.result,INDEX(ASSET!U:U, MATCH(TRIM($C79), TRIM(ASSET!$A:$A), 0)),IF(ISNUMBER(SEARCH("-", _xlpm.result)), 0, _xlpm.result))</f>
        <v>3801500</v>
      </c>
      <c r="AF79" s="66">
        <f>group_data_final[[#This Row],[ค่าบำรุงจุดกางเต็นท์]]/300000</f>
        <v>2</v>
      </c>
      <c r="AG79" s="1" cm="1">
        <f t="array" ref="AG79">_xlfn.LET(_xlpm.result,INDEX(ราคาค่าบำรุง!D:D, MATCH(TRIM($C79), TRIM(ราคาค่าบำรุง!$A:$A), 0)),IF(ISNUMBER(SEARCH("-", _xlpm.result)), 0, _xlpm.result))</f>
        <v>600000</v>
      </c>
      <c r="AH79" s="66">
        <f>group_data_final[[#This Row],[ค่าบำรุงจุดพักรถ]]/300000</f>
        <v>3</v>
      </c>
      <c r="AI79" s="1" cm="1">
        <f t="array" ref="AI79">_xlfn.LET(_xlpm.result,INDEX(ราคาค่าบำรุง!F:F, MATCH(TRIM($C79), TRIM(ราคาค่าบำรุง!$A:$A), 0)),IF(ISNUMBER(SEARCH("-", _xlpm.result)), 0, _xlpm.result))</f>
        <v>900000</v>
      </c>
      <c r="AJ79" s="66">
        <f>group_data_final[[#This Row],[ค่าบำรุงภูมิสถาปัตย์]]/300000</f>
        <v>3</v>
      </c>
      <c r="AK79" s="1" cm="1">
        <f t="array" ref="AK79">_xlfn.LET(_xlpm.result,INDEX(ราคาค่าบำรุง!H:H, MATCH(TRIM($C79), TRIM(ราคาค่าบำรุง!$A:$A), 0)),IF(ISNUMBER(SEARCH("-", _xlpm.result)), 0, _xlpm.result))</f>
        <v>900000</v>
      </c>
      <c r="AL79">
        <f t="shared" si="2"/>
        <v>0</v>
      </c>
      <c r="AM79">
        <f>_xlfn.XLOOKUP(group_data_final[[#This Row],[depot_code]],C:C,แผน68!D:D)</f>
        <v>8886123.0600000005</v>
      </c>
      <c r="AN79">
        <v>5434</v>
      </c>
    </row>
    <row r="80" spans="1:40">
      <c r="A80" t="s">
        <v>129</v>
      </c>
      <c r="B80" t="s">
        <v>130</v>
      </c>
      <c r="C80" s="39">
        <v>615</v>
      </c>
      <c r="D80" cm="1">
        <f t="array" ref="D80">_xlfn.LET(_xlpm.result,INDEX(ระยะทาง!C:C, MATCH(TRIM(C80), TRIM(ระยะทาง!$A:$A), 0)),IF(ISNUMBER(SEARCH("-", _xlpm.result)), 0, _xlpm.result))</f>
        <v>1493.0940000000001</v>
      </c>
      <c r="E80" cm="1">
        <f t="array" ref="E80">_xlfn.LET(_xlpm.result,INDEX(ระยะทาง!D:D, MATCH(TRIM($C80), TRIM(ระยะทาง!$A:$A), 0)),IF(ISNUMBER(SEARCH("-", _xlpm.result)), 0, _xlpm.result))</f>
        <v>1213262311</v>
      </c>
      <c r="F80">
        <v>226788756</v>
      </c>
      <c r="G80">
        <v>2.4900434782608696</v>
      </c>
      <c r="H80">
        <v>862.726</v>
      </c>
      <c r="I80">
        <v>2</v>
      </c>
      <c r="J80">
        <v>8</v>
      </c>
      <c r="K80">
        <v>3.8260869565217392</v>
      </c>
      <c r="L80">
        <v>3.5</v>
      </c>
      <c r="M80">
        <v>5</v>
      </c>
      <c r="N80">
        <v>21.504000000000001</v>
      </c>
      <c r="O80">
        <v>2</v>
      </c>
      <c r="P80">
        <v>8</v>
      </c>
      <c r="Q80">
        <v>4.7272727272727275</v>
      </c>
      <c r="R80">
        <v>3.5</v>
      </c>
      <c r="S80">
        <v>5</v>
      </c>
      <c r="T80">
        <v>4000</v>
      </c>
      <c r="U80">
        <v>0</v>
      </c>
      <c r="V80">
        <v>212343.59900000002</v>
      </c>
      <c r="W80">
        <v>299</v>
      </c>
      <c r="X80">
        <v>214384.64700000003</v>
      </c>
      <c r="Y80">
        <v>157702</v>
      </c>
      <c r="Z80">
        <v>140.33291252185603</v>
      </c>
      <c r="AA80">
        <v>59.937132737868652</v>
      </c>
      <c r="AB80">
        <v>1.2444033913631202E-2</v>
      </c>
      <c r="AC80">
        <v>8.1709411608101785</v>
      </c>
      <c r="AD80">
        <f>D80*'ราคาต้นทุน (Asset)'!$E$1</f>
        <v>89585640</v>
      </c>
      <c r="AE80" s="1" cm="1">
        <f t="array" ref="AE80">_xlfn.LET(_xlpm.result,INDEX(ASSET!U:U, MATCH(TRIM($C80), TRIM(ASSET!$A:$A), 0)),IF(ISNUMBER(SEARCH("-", _xlpm.result)), 0, _xlpm.result))</f>
        <v>5935100</v>
      </c>
      <c r="AF80" s="66">
        <f>group_data_final[[#This Row],[ค่าบำรุงจุดกางเต็นท์]]/300000</f>
        <v>0</v>
      </c>
      <c r="AG80" s="1" cm="1">
        <f t="array" ref="AG80">_xlfn.LET(_xlpm.result,INDEX(ราคาค่าบำรุง!D:D, MATCH(TRIM($C80), TRIM(ราคาค่าบำรุง!$A:$A), 0)),IF(ISNUMBER(SEARCH("-", _xlpm.result)), 0, _xlpm.result))</f>
        <v>0</v>
      </c>
      <c r="AH80" s="66">
        <f>group_data_final[[#This Row],[ค่าบำรุงจุดพักรถ]]/300000</f>
        <v>1</v>
      </c>
      <c r="AI80" s="1" cm="1">
        <f t="array" ref="AI80">_xlfn.LET(_xlpm.result,INDEX(ราคาค่าบำรุง!F:F, MATCH(TRIM($C80), TRIM(ราคาค่าบำรุง!$A:$A), 0)),IF(ISNUMBER(SEARCH("-", _xlpm.result)), 0, _xlpm.result))</f>
        <v>300000</v>
      </c>
      <c r="AJ80" s="66">
        <f>group_data_final[[#This Row],[ค่าบำรุงภูมิสถาปัตย์]]/300000</f>
        <v>0</v>
      </c>
      <c r="AK80" s="1" cm="1">
        <f t="array" ref="AK80">_xlfn.LET(_xlpm.result,INDEX(ราคาค่าบำรุง!H:H, MATCH(TRIM($C80), TRIM(ราคาค่าบำรุง!$A:$A), 0)),IF(ISNUMBER(SEARCH("-", _xlpm.result)), 0, _xlpm.result))</f>
        <v>0</v>
      </c>
      <c r="AL80">
        <f t="shared" si="2"/>
        <v>0</v>
      </c>
      <c r="AM80">
        <f>_xlfn.XLOOKUP(group_data_final[[#This Row],[depot_code]],C:C,แผน68!D:D)</f>
        <v>16635212</v>
      </c>
      <c r="AN80">
        <v>7425.37</v>
      </c>
    </row>
    <row r="81" spans="1:40">
      <c r="A81" t="s">
        <v>125</v>
      </c>
      <c r="B81" t="s">
        <v>131</v>
      </c>
      <c r="C81" s="39">
        <v>617</v>
      </c>
      <c r="D81" cm="1">
        <f t="array" ref="D81">_xlfn.LET(_xlpm.result,INDEX(ระยะทาง!C:C, MATCH(TRIM(C81), TRIM(ระยะทาง!$A:$A), 0)),IF(ISNUMBER(SEARCH("-", _xlpm.result)), 0, _xlpm.result))</f>
        <v>1498.98</v>
      </c>
      <c r="E81" cm="1">
        <f t="array" ref="E81">_xlfn.LET(_xlpm.result,INDEX(ระยะทาง!D:D, MATCH(TRIM($C81), TRIM(ระยะทาง!$A:$A), 0)),IF(ISNUMBER(SEARCH("-", _xlpm.result)), 0, _xlpm.result))</f>
        <v>1806719389</v>
      </c>
      <c r="F81">
        <v>75470489</v>
      </c>
      <c r="G81">
        <v>2.3909565217391302</v>
      </c>
      <c r="H81">
        <v>764.48699999999997</v>
      </c>
      <c r="I81">
        <v>2</v>
      </c>
      <c r="J81">
        <v>10</v>
      </c>
      <c r="K81">
        <v>4.1739130434782608</v>
      </c>
      <c r="L81">
        <v>3.5</v>
      </c>
      <c r="M81">
        <v>5</v>
      </c>
      <c r="N81">
        <v>28.007000000000001</v>
      </c>
      <c r="O81">
        <v>2</v>
      </c>
      <c r="P81">
        <v>8</v>
      </c>
      <c r="Q81">
        <v>5.4545454545454541</v>
      </c>
      <c r="R81">
        <v>3.5</v>
      </c>
      <c r="S81">
        <v>4.333333333333333</v>
      </c>
      <c r="T81">
        <v>0</v>
      </c>
      <c r="U81">
        <v>0</v>
      </c>
      <c r="V81">
        <v>134386.09</v>
      </c>
      <c r="W81">
        <v>1448.3</v>
      </c>
      <c r="X81">
        <v>212967.13200000001</v>
      </c>
      <c r="Y81">
        <v>226323</v>
      </c>
      <c r="Z81">
        <v>175.65130745294104</v>
      </c>
      <c r="AA81">
        <v>148.11439404152949</v>
      </c>
      <c r="AB81">
        <v>-1.1541128193867616E-2</v>
      </c>
      <c r="AC81">
        <v>7.1416487332414098</v>
      </c>
      <c r="AD81">
        <f>D81*'ราคาต้นทุน (Asset)'!$E$1</f>
        <v>89938800</v>
      </c>
      <c r="AE81" s="1" cm="1">
        <f t="array" ref="AE81">_xlfn.LET(_xlpm.result,INDEX(ASSET!U:U, MATCH(TRIM($C81), TRIM(ASSET!$A:$A), 0)),IF(ISNUMBER(SEARCH("-", _xlpm.result)), 0, _xlpm.result))</f>
        <v>5844500</v>
      </c>
      <c r="AF81" s="66">
        <f>group_data_final[[#This Row],[ค่าบำรุงจุดกางเต็นท์]]/300000</f>
        <v>3</v>
      </c>
      <c r="AG81" s="1" cm="1">
        <f t="array" ref="AG81">_xlfn.LET(_xlpm.result,INDEX(ราคาค่าบำรุง!D:D, MATCH(TRIM($C81), TRIM(ราคาค่าบำรุง!$A:$A), 0)),IF(ISNUMBER(SEARCH("-", _xlpm.result)), 0, _xlpm.result))</f>
        <v>900000</v>
      </c>
      <c r="AH81" s="66">
        <f>group_data_final[[#This Row],[ค่าบำรุงจุดพักรถ]]/300000</f>
        <v>1</v>
      </c>
      <c r="AI81" s="1" cm="1">
        <f t="array" ref="AI81">_xlfn.LET(_xlpm.result,INDEX(ราคาค่าบำรุง!F:F, MATCH(TRIM($C81), TRIM(ราคาค่าบำรุง!$A:$A), 0)),IF(ISNUMBER(SEARCH("-", _xlpm.result)), 0, _xlpm.result))</f>
        <v>300000</v>
      </c>
      <c r="AJ81" s="66">
        <f>group_data_final[[#This Row],[ค่าบำรุงภูมิสถาปัตย์]]/300000</f>
        <v>0</v>
      </c>
      <c r="AK81" s="1" cm="1">
        <f t="array" ref="AK81">_xlfn.LET(_xlpm.result,INDEX(ราคาค่าบำรุง!H:H, MATCH(TRIM($C81), TRIM(ราคาค่าบำรุง!$A:$A), 0)),IF(ISNUMBER(SEARCH("-", _xlpm.result)), 0, _xlpm.result))</f>
        <v>0</v>
      </c>
      <c r="AL81">
        <f t="shared" si="2"/>
        <v>0</v>
      </c>
      <c r="AM81">
        <f>_xlfn.XLOOKUP(group_data_final[[#This Row],[depot_code]],C:C,แผน68!D:D)</f>
        <v>5433140</v>
      </c>
      <c r="AN81">
        <v>5519.5</v>
      </c>
    </row>
    <row r="82" spans="1:40">
      <c r="A82" t="s">
        <v>125</v>
      </c>
      <c r="B82" t="s">
        <v>132</v>
      </c>
      <c r="C82" s="39">
        <v>618</v>
      </c>
      <c r="D82" cm="1">
        <f t="array" ref="D82">_xlfn.LET(_xlpm.result,INDEX(ระยะทาง!C:C, MATCH(TRIM(C82), TRIM(ระยะทาง!$A:$A), 0)),IF(ISNUMBER(SEARCH("-", _xlpm.result)), 0, _xlpm.result))</f>
        <v>880.74400000000003</v>
      </c>
      <c r="E82" cm="1">
        <f t="array" ref="E82">_xlfn.LET(_xlpm.result,INDEX(ระยะทาง!D:D, MATCH(TRIM($C82), TRIM(ระยะทาง!$A:$A), 0)),IF(ISNUMBER(SEARCH("-", _xlpm.result)), 0, _xlpm.result))</f>
        <v>2193563902</v>
      </c>
      <c r="F82">
        <v>160530006</v>
      </c>
      <c r="G82">
        <v>2.6898749999999998</v>
      </c>
      <c r="H82">
        <v>461.63099999999997</v>
      </c>
      <c r="I82">
        <v>1</v>
      </c>
      <c r="J82">
        <v>8</v>
      </c>
      <c r="K82">
        <v>4.5</v>
      </c>
      <c r="L82">
        <v>3.5</v>
      </c>
      <c r="M82">
        <v>5</v>
      </c>
      <c r="N82">
        <v>101.77500000000001</v>
      </c>
      <c r="O82">
        <v>4</v>
      </c>
      <c r="P82">
        <v>8</v>
      </c>
      <c r="Q82">
        <v>5.25</v>
      </c>
      <c r="R82">
        <v>3.5</v>
      </c>
      <c r="S82">
        <v>4.984375</v>
      </c>
      <c r="T82">
        <v>0</v>
      </c>
      <c r="U82">
        <v>0</v>
      </c>
      <c r="V82">
        <v>55906.667520000003</v>
      </c>
      <c r="W82">
        <v>3222.2</v>
      </c>
      <c r="X82">
        <v>116010.60949999999</v>
      </c>
      <c r="Y82">
        <v>155027</v>
      </c>
      <c r="Z82">
        <v>11.242134665429955</v>
      </c>
      <c r="AA82">
        <v>1257.8715416764617</v>
      </c>
      <c r="AB82">
        <v>0.19059021182712052</v>
      </c>
      <c r="AC82">
        <v>7.2674768020724683</v>
      </c>
      <c r="AD82">
        <f>D82*'ราคาต้นทุน (Asset)'!$E$1</f>
        <v>52844640</v>
      </c>
      <c r="AE82" s="1" cm="1">
        <f t="array" ref="AE82">_xlfn.LET(_xlpm.result,INDEX(ASSET!U:U, MATCH(TRIM($C82), TRIM(ASSET!$A:$A), 0)),IF(ISNUMBER(SEARCH("-", _xlpm.result)), 0, _xlpm.result))</f>
        <v>4089100</v>
      </c>
      <c r="AF82" s="66">
        <f>group_data_final[[#This Row],[ค่าบำรุงจุดกางเต็นท์]]/300000</f>
        <v>0</v>
      </c>
      <c r="AG82" s="1" cm="1">
        <f t="array" ref="AG82">_xlfn.LET(_xlpm.result,INDEX(ราคาค่าบำรุง!D:D, MATCH(TRIM($C82), TRIM(ราคาค่าบำรุง!$A:$A), 0)),IF(ISNUMBER(SEARCH("-", _xlpm.result)), 0, _xlpm.result))</f>
        <v>0</v>
      </c>
      <c r="AH82" s="66">
        <f>group_data_final[[#This Row],[ค่าบำรุงจุดพักรถ]]/300000</f>
        <v>2</v>
      </c>
      <c r="AI82" s="1" cm="1">
        <f t="array" ref="AI82">_xlfn.LET(_xlpm.result,INDEX(ราคาค่าบำรุง!F:F, MATCH(TRIM($C82), TRIM(ราคาค่าบำรุง!$A:$A), 0)),IF(ISNUMBER(SEARCH("-", _xlpm.result)), 0, _xlpm.result))</f>
        <v>600000</v>
      </c>
      <c r="AJ82" s="66">
        <f>group_data_final[[#This Row],[ค่าบำรุงภูมิสถาปัตย์]]/300000</f>
        <v>4</v>
      </c>
      <c r="AK82" s="1" cm="1">
        <f t="array" ref="AK82">_xlfn.LET(_xlpm.result,INDEX(ราคาค่าบำรุง!H:H, MATCH(TRIM($C82), TRIM(ราคาค่าบำรุง!$A:$A), 0)),IF(ISNUMBER(SEARCH("-", _xlpm.result)), 0, _xlpm.result))</f>
        <v>1200000</v>
      </c>
      <c r="AL82">
        <f t="shared" si="2"/>
        <v>2</v>
      </c>
      <c r="AM82">
        <f>_xlfn.XLOOKUP(group_data_final[[#This Row],[depot_code]],C:C,แผน68!D:D)</f>
        <v>15085067.1</v>
      </c>
      <c r="AN82">
        <v>8958.1</v>
      </c>
    </row>
    <row r="83" spans="1:40">
      <c r="A83" t="s">
        <v>125</v>
      </c>
      <c r="B83" t="s">
        <v>133</v>
      </c>
      <c r="C83" s="39">
        <v>619</v>
      </c>
      <c r="D83" cm="1">
        <f t="array" ref="D83">_xlfn.LET(_xlpm.result,INDEX(ระยะทาง!C:C, MATCH(TRIM(C83), TRIM(ระยะทาง!$A:$A), 0)),IF(ISNUMBER(SEARCH("-", _xlpm.result)), 0, _xlpm.result))</f>
        <v>1041.9480000000001</v>
      </c>
      <c r="E83" cm="1">
        <f t="array" ref="E83">_xlfn.LET(_xlpm.result,INDEX(ระยะทาง!D:D, MATCH(TRIM($C83), TRIM(ระยะทาง!$A:$A), 0)),IF(ISNUMBER(SEARCH("-", _xlpm.result)), 0, _xlpm.result))</f>
        <v>1552894567</v>
      </c>
      <c r="F83">
        <v>343346638</v>
      </c>
      <c r="G83">
        <v>2.2766666666666668</v>
      </c>
      <c r="H83">
        <v>418.49299999999999</v>
      </c>
      <c r="I83">
        <v>2</v>
      </c>
      <c r="J83">
        <v>8</v>
      </c>
      <c r="K83">
        <v>3.4444444444444446</v>
      </c>
      <c r="L83">
        <v>3.5</v>
      </c>
      <c r="M83">
        <v>5</v>
      </c>
      <c r="N83">
        <v>1.498</v>
      </c>
      <c r="O83">
        <v>4</v>
      </c>
      <c r="P83">
        <v>4</v>
      </c>
      <c r="Q83">
        <v>4</v>
      </c>
      <c r="T83">
        <v>0</v>
      </c>
      <c r="U83">
        <v>0</v>
      </c>
      <c r="V83">
        <v>49508.05</v>
      </c>
      <c r="W83">
        <v>14279</v>
      </c>
      <c r="X83">
        <v>85722</v>
      </c>
      <c r="Y83">
        <v>41793</v>
      </c>
      <c r="Z83">
        <v>10.034872052220864</v>
      </c>
      <c r="AA83">
        <v>233.87900495082209</v>
      </c>
      <c r="AB83">
        <v>7.2878695441762523E-2</v>
      </c>
      <c r="AC83">
        <v>9.9982838015604703</v>
      </c>
      <c r="AD83">
        <f>D83*'ราคาต้นทุน (Asset)'!$E$1</f>
        <v>62516880.000000007</v>
      </c>
      <c r="AE83" s="1" cm="1">
        <f t="array" ref="AE83">_xlfn.LET(_xlpm.result,INDEX(ASSET!U:U, MATCH(TRIM($C83), TRIM(ASSET!$A:$A), 0)),IF(ISNUMBER(SEARCH("-", _xlpm.result)), 0, _xlpm.result))</f>
        <v>3479300</v>
      </c>
      <c r="AF83" s="66">
        <f>group_data_final[[#This Row],[ค่าบำรุงจุดกางเต็นท์]]/300000</f>
        <v>0</v>
      </c>
      <c r="AG83" s="1" cm="1">
        <f t="array" ref="AG83">_xlfn.LET(_xlpm.result,INDEX(ราคาค่าบำรุง!D:D, MATCH(TRIM($C83), TRIM(ราคาค่าบำรุง!$A:$A), 0)),IF(ISNUMBER(SEARCH("-", _xlpm.result)), 0, _xlpm.result))</f>
        <v>0</v>
      </c>
      <c r="AH83" s="66">
        <f>group_data_final[[#This Row],[ค่าบำรุงจุดพักรถ]]/300000</f>
        <v>1</v>
      </c>
      <c r="AI83" s="1" cm="1">
        <f t="array" ref="AI83">_xlfn.LET(_xlpm.result,INDEX(ราคาค่าบำรุง!F:F, MATCH(TRIM($C83), TRIM(ราคาค่าบำรุง!$A:$A), 0)),IF(ISNUMBER(SEARCH("-", _xlpm.result)), 0, _xlpm.result))</f>
        <v>300000</v>
      </c>
      <c r="AJ83" s="66">
        <f>group_data_final[[#This Row],[ค่าบำรุงภูมิสถาปัตย์]]/300000</f>
        <v>1</v>
      </c>
      <c r="AK83" s="1" cm="1">
        <f t="array" ref="AK83">_xlfn.LET(_xlpm.result,INDEX(ราคาค่าบำรุง!H:H, MATCH(TRIM($C83), TRIM(ราคาค่าบำรุง!$A:$A), 0)),IF(ISNUMBER(SEARCH("-", _xlpm.result)), 0, _xlpm.result))</f>
        <v>300000</v>
      </c>
      <c r="AL83">
        <f t="shared" si="2"/>
        <v>0</v>
      </c>
      <c r="AM83">
        <f>_xlfn.XLOOKUP(group_data_final[[#This Row],[depot_code]],C:C,แผน68!D:D)</f>
        <v>12149336</v>
      </c>
      <c r="AN83">
        <v>3963</v>
      </c>
    </row>
    <row r="84" spans="1:40">
      <c r="A84" t="s">
        <v>134</v>
      </c>
      <c r="B84" t="s">
        <v>135</v>
      </c>
      <c r="C84" s="39">
        <v>621</v>
      </c>
      <c r="D84" cm="1">
        <f t="array" ref="D84">_xlfn.LET(_xlpm.result,INDEX(ระยะทาง!C:C, MATCH(TRIM(C84), TRIM(ระยะทาง!$A:$A), 0)),IF(ISNUMBER(SEARCH("-", _xlpm.result)), 0, _xlpm.result))</f>
        <v>640.13199999999995</v>
      </c>
      <c r="E84" cm="1">
        <f t="array" ref="E84">_xlfn.LET(_xlpm.result,INDEX(ระยะทาง!D:D, MATCH(TRIM($C84), TRIM(ระยะทาง!$A:$A), 0)),IF(ISNUMBER(SEARCH("-", _xlpm.result)), 0, _xlpm.result))</f>
        <v>1996857227</v>
      </c>
      <c r="F84">
        <v>189855760</v>
      </c>
      <c r="G84">
        <v>2.9287142857142858</v>
      </c>
      <c r="H84">
        <v>316.35599999999999</v>
      </c>
      <c r="I84">
        <v>2</v>
      </c>
      <c r="J84">
        <v>7</v>
      </c>
      <c r="K84">
        <v>3.9166666666666665</v>
      </c>
      <c r="L84">
        <v>3.5</v>
      </c>
      <c r="M84">
        <v>5</v>
      </c>
      <c r="N84">
        <v>162.82599999999999</v>
      </c>
      <c r="O84">
        <v>4</v>
      </c>
      <c r="P84">
        <v>12</v>
      </c>
      <c r="Q84">
        <v>6.375</v>
      </c>
      <c r="R84">
        <v>3.5</v>
      </c>
      <c r="S84">
        <v>4.2236666666666665</v>
      </c>
      <c r="T84">
        <v>0</v>
      </c>
      <c r="U84">
        <v>0</v>
      </c>
      <c r="V84">
        <v>138015.25080000001</v>
      </c>
      <c r="W84">
        <v>40127.300000000003</v>
      </c>
      <c r="X84">
        <v>78775.320000000007</v>
      </c>
      <c r="Y84">
        <v>353774</v>
      </c>
      <c r="Z84">
        <v>173.18398016954384</v>
      </c>
      <c r="AA84">
        <v>93.247018562500216</v>
      </c>
      <c r="AB84">
        <v>3.335999361114423E-2</v>
      </c>
      <c r="AC84">
        <v>8.1327599331241487</v>
      </c>
      <c r="AD84">
        <f>D84*'ราคาต้นทุน (Asset)'!$E$1</f>
        <v>38407920</v>
      </c>
      <c r="AE84" s="1" cm="1">
        <f t="array" ref="AE84">_xlfn.LET(_xlpm.result,INDEX(ASSET!U:U, MATCH(TRIM($C84), TRIM(ASSET!$A:$A), 0)),IF(ISNUMBER(SEARCH("-", _xlpm.result)), 0, _xlpm.result))</f>
        <v>3194100</v>
      </c>
      <c r="AF84" s="66">
        <f>group_data_final[[#This Row],[ค่าบำรุงจุดกางเต็นท์]]/300000</f>
        <v>0</v>
      </c>
      <c r="AG84" s="1" cm="1">
        <f t="array" ref="AG84">_xlfn.LET(_xlpm.result,INDEX(ราคาค่าบำรุง!D:D, MATCH(TRIM($C84), TRIM(ราคาค่าบำรุง!$A:$A), 0)),IF(ISNUMBER(SEARCH("-", _xlpm.result)), 0, _xlpm.result))</f>
        <v>0</v>
      </c>
      <c r="AH84" s="66">
        <f>group_data_final[[#This Row],[ค่าบำรุงจุดพักรถ]]/300000</f>
        <v>0</v>
      </c>
      <c r="AI84" s="1" cm="1">
        <f t="array" ref="AI84">_xlfn.LET(_xlpm.result,INDEX(ราคาค่าบำรุง!F:F, MATCH(TRIM($C84), TRIM(ราคาค่าบำรุง!$A:$A), 0)),IF(ISNUMBER(SEARCH("-", _xlpm.result)), 0, _xlpm.result))</f>
        <v>0</v>
      </c>
      <c r="AJ84" s="66">
        <f>group_data_final[[#This Row],[ค่าบำรุงภูมิสถาปัตย์]]/300000</f>
        <v>0</v>
      </c>
      <c r="AK84" s="1" cm="1">
        <f t="array" ref="AK84">_xlfn.LET(_xlpm.result,INDEX(ราคาค่าบำรุง!H:H, MATCH(TRIM($C84), TRIM(ราคาค่าบำรุง!$A:$A), 0)),IF(ISNUMBER(SEARCH("-", _xlpm.result)), 0, _xlpm.result))</f>
        <v>0</v>
      </c>
      <c r="AL84">
        <f t="shared" si="2"/>
        <v>0</v>
      </c>
      <c r="AM84">
        <f>_xlfn.XLOOKUP(group_data_final[[#This Row],[depot_code]],C:C,แผน68!D:D)</f>
        <v>31239469.100000001</v>
      </c>
      <c r="AN84">
        <v>9383.7999999999993</v>
      </c>
    </row>
    <row r="85" spans="1:40">
      <c r="A85" t="s">
        <v>136</v>
      </c>
      <c r="B85" t="s">
        <v>137</v>
      </c>
      <c r="C85" s="39">
        <v>622</v>
      </c>
      <c r="D85" cm="1">
        <f t="array" ref="D85">_xlfn.LET(_xlpm.result,INDEX(ระยะทาง!C:C, MATCH(TRIM(C85), TRIM(ระยะทาง!$A:$A), 0)),IF(ISNUMBER(SEARCH("-", _xlpm.result)), 0, _xlpm.result))</f>
        <v>913.52599999999995</v>
      </c>
      <c r="E85" cm="1">
        <f t="array" ref="E85">_xlfn.LET(_xlpm.result,INDEX(ระยะทาง!D:D, MATCH(TRIM($C85), TRIM(ระยะทาง!$A:$A), 0)),IF(ISNUMBER(SEARCH("-", _xlpm.result)), 0, _xlpm.result))</f>
        <v>2639957062</v>
      </c>
      <c r="F85">
        <v>277969673</v>
      </c>
      <c r="G85">
        <v>2.3890833333333332</v>
      </c>
      <c r="H85">
        <v>504.29700000000003</v>
      </c>
      <c r="I85">
        <v>2</v>
      </c>
      <c r="J85">
        <v>6</v>
      </c>
      <c r="K85">
        <v>4.083333333333333</v>
      </c>
      <c r="L85">
        <v>3.5</v>
      </c>
      <c r="M85">
        <v>5.2720000000000002</v>
      </c>
      <c r="N85">
        <v>7.3070000000000004</v>
      </c>
      <c r="O85">
        <v>4</v>
      </c>
      <c r="P85">
        <v>6</v>
      </c>
      <c r="Q85">
        <v>4.166666666666667</v>
      </c>
      <c r="R85">
        <v>3.5</v>
      </c>
      <c r="S85">
        <v>4.8</v>
      </c>
      <c r="T85">
        <v>0</v>
      </c>
      <c r="U85">
        <v>0</v>
      </c>
      <c r="V85">
        <v>153733.08000000002</v>
      </c>
      <c r="W85">
        <v>15777</v>
      </c>
      <c r="X85">
        <v>97707.53</v>
      </c>
      <c r="Y85">
        <v>77577.616999999998</v>
      </c>
      <c r="Z85">
        <v>157.56239096853778</v>
      </c>
      <c r="AA85">
        <v>64.596188972521716</v>
      </c>
      <c r="AB85">
        <v>-4.3239176830801772E-2</v>
      </c>
      <c r="AC85">
        <v>6.1813149927285478</v>
      </c>
      <c r="AD85">
        <f>D85*'ราคาต้นทุน (Asset)'!$E$1</f>
        <v>54811560</v>
      </c>
      <c r="AE85" s="1" cm="1">
        <f t="array" ref="AE85">_xlfn.LET(_xlpm.result,INDEX(ASSET!U:U, MATCH(TRIM($C85), TRIM(ASSET!$A:$A), 0)),IF(ISNUMBER(SEARCH("-", _xlpm.result)), 0, _xlpm.result))</f>
        <v>4223600</v>
      </c>
      <c r="AF85" s="66">
        <f>group_data_final[[#This Row],[ค่าบำรุงจุดกางเต็นท์]]/300000</f>
        <v>1</v>
      </c>
      <c r="AG85" s="1" cm="1">
        <f t="array" ref="AG85">_xlfn.LET(_xlpm.result,INDEX(ราคาค่าบำรุง!D:D, MATCH(TRIM($C85), TRIM(ราคาค่าบำรุง!$A:$A), 0)),IF(ISNUMBER(SEARCH("-", _xlpm.result)), 0, _xlpm.result))</f>
        <v>300000</v>
      </c>
      <c r="AH85" s="66">
        <f>group_data_final[[#This Row],[ค่าบำรุงจุดพักรถ]]/300000</f>
        <v>2</v>
      </c>
      <c r="AI85" s="1" cm="1">
        <f t="array" ref="AI85">_xlfn.LET(_xlpm.result,INDEX(ราคาค่าบำรุง!F:F, MATCH(TRIM($C85), TRIM(ราคาค่าบำรุง!$A:$A), 0)),IF(ISNUMBER(SEARCH("-", _xlpm.result)), 0, _xlpm.result))</f>
        <v>600000</v>
      </c>
      <c r="AJ85" s="66">
        <f>group_data_final[[#This Row],[ค่าบำรุงภูมิสถาปัตย์]]/300000</f>
        <v>1</v>
      </c>
      <c r="AK85" s="1" cm="1">
        <f t="array" ref="AK85">_xlfn.LET(_xlpm.result,INDEX(ราคาค่าบำรุง!H:H, MATCH(TRIM($C85), TRIM(ราคาค่าบำรุง!$A:$A), 0)),IF(ISNUMBER(SEARCH("-", _xlpm.result)), 0, _xlpm.result))</f>
        <v>300000</v>
      </c>
      <c r="AL85">
        <f t="shared" si="2"/>
        <v>0</v>
      </c>
      <c r="AM85">
        <f>_xlfn.XLOOKUP(group_data_final[[#This Row],[depot_code]],C:C,แผน68!D:D)</f>
        <v>36501247.039999999</v>
      </c>
      <c r="AN85">
        <v>4266.5</v>
      </c>
    </row>
    <row r="86" spans="1:40">
      <c r="A86" t="s">
        <v>134</v>
      </c>
      <c r="B86" t="s">
        <v>138</v>
      </c>
      <c r="C86" s="39">
        <v>623</v>
      </c>
      <c r="D86" cm="1">
        <f t="array" ref="D86">_xlfn.LET(_xlpm.result,INDEX(ระยะทาง!C:C, MATCH(TRIM(C86), TRIM(ระยะทาง!$A:$A), 0)),IF(ISNUMBER(SEARCH("-", _xlpm.result)), 0, _xlpm.result))</f>
        <v>709.95100000000002</v>
      </c>
      <c r="E86" cm="1">
        <f t="array" ref="E86">_xlfn.LET(_xlpm.result,INDEX(ระยะทาง!D:D, MATCH(TRIM($C86), TRIM(ระยะทาง!$A:$A), 0)),IF(ISNUMBER(SEARCH("-", _xlpm.result)), 0, _xlpm.result))</f>
        <v>2572797135</v>
      </c>
      <c r="F86">
        <v>119571689</v>
      </c>
      <c r="G86">
        <v>2.7048571428571431</v>
      </c>
      <c r="H86">
        <v>403.00099999999998</v>
      </c>
      <c r="I86">
        <v>1</v>
      </c>
      <c r="J86">
        <v>10</v>
      </c>
      <c r="K86">
        <v>3.9285714285714284</v>
      </c>
      <c r="L86">
        <v>3.5</v>
      </c>
      <c r="M86">
        <v>4</v>
      </c>
      <c r="N86">
        <v>178.84200000000001</v>
      </c>
      <c r="O86">
        <v>4</v>
      </c>
      <c r="P86">
        <v>10</v>
      </c>
      <c r="Q86">
        <v>6.1428571428571432</v>
      </c>
      <c r="R86">
        <v>3.5</v>
      </c>
      <c r="S86">
        <v>3.8333333333333335</v>
      </c>
      <c r="T86">
        <v>0</v>
      </c>
      <c r="U86">
        <v>0</v>
      </c>
      <c r="V86">
        <v>450171.4800000001</v>
      </c>
      <c r="W86">
        <v>19331.100000000002</v>
      </c>
      <c r="X86">
        <v>89455.742000000013</v>
      </c>
      <c r="Y86">
        <v>81681</v>
      </c>
      <c r="Z86">
        <v>198.96714305053007</v>
      </c>
      <c r="AA86">
        <v>499.65025521419795</v>
      </c>
      <c r="AB86">
        <v>0.11807085096923274</v>
      </c>
      <c r="AC86">
        <v>13.019372597765392</v>
      </c>
      <c r="AD86">
        <f>D86*'ราคาต้นทุน (Asset)'!$E$1</f>
        <v>42597060</v>
      </c>
      <c r="AE86" s="1" cm="1">
        <f t="array" ref="AE86">_xlfn.LET(_xlpm.result,INDEX(ASSET!U:U, MATCH(TRIM($C86), TRIM(ASSET!$A:$A), 0)),IF(ISNUMBER(SEARCH("-", _xlpm.result)), 0, _xlpm.result))</f>
        <v>3063100</v>
      </c>
      <c r="AF86" s="66">
        <f>group_data_final[[#This Row],[ค่าบำรุงจุดกางเต็นท์]]/300000</f>
        <v>0</v>
      </c>
      <c r="AG86" s="1" cm="1">
        <f t="array" ref="AG86">_xlfn.LET(_xlpm.result,INDEX(ราคาค่าบำรุง!D:D, MATCH(TRIM($C86), TRIM(ราคาค่าบำรุง!$A:$A), 0)),IF(ISNUMBER(SEARCH("-", _xlpm.result)), 0, _xlpm.result))</f>
        <v>0</v>
      </c>
      <c r="AH86" s="66">
        <f>group_data_final[[#This Row],[ค่าบำรุงจุดพักรถ]]/300000</f>
        <v>0</v>
      </c>
      <c r="AI86" s="1" cm="1">
        <f t="array" ref="AI86">_xlfn.LET(_xlpm.result,INDEX(ราคาค่าบำรุง!F:F, MATCH(TRIM($C86), TRIM(ราคาค่าบำรุง!$A:$A), 0)),IF(ISNUMBER(SEARCH("-", _xlpm.result)), 0, _xlpm.result))</f>
        <v>0</v>
      </c>
      <c r="AJ86" s="66">
        <f>group_data_final[[#This Row],[ค่าบำรุงภูมิสถาปัตย์]]/300000</f>
        <v>0</v>
      </c>
      <c r="AK86" s="1" cm="1">
        <f t="array" ref="AK86">_xlfn.LET(_xlpm.result,INDEX(ราคาค่าบำรุง!H:H, MATCH(TRIM($C86), TRIM(ราคาค่าบำรุง!$A:$A), 0)),IF(ISNUMBER(SEARCH("-", _xlpm.result)), 0, _xlpm.result))</f>
        <v>0</v>
      </c>
      <c r="AL86">
        <f t="shared" si="2"/>
        <v>0</v>
      </c>
      <c r="AM86">
        <f>_xlfn.XLOOKUP(group_data_final[[#This Row],[depot_code]],C:C,แผน68!D:D)</f>
        <v>22397913</v>
      </c>
      <c r="AN86">
        <v>4415.2</v>
      </c>
    </row>
    <row r="87" spans="1:40">
      <c r="A87" t="s">
        <v>134</v>
      </c>
      <c r="B87" t="s">
        <v>139</v>
      </c>
      <c r="C87" s="39">
        <v>624</v>
      </c>
      <c r="D87" cm="1">
        <f t="array" ref="D87">_xlfn.LET(_xlpm.result,INDEX(ระยะทาง!C:C, MATCH(TRIM(C87), TRIM(ระยะทาง!$A:$A), 0)),IF(ISNUMBER(SEARCH("-", _xlpm.result)), 0, _xlpm.result))</f>
        <v>679.35299999999995</v>
      </c>
      <c r="E87" cm="1">
        <f t="array" ref="E87">_xlfn.LET(_xlpm.result,INDEX(ระยะทาง!D:D, MATCH(TRIM($C87), TRIM(ระยะทาง!$A:$A), 0)),IF(ISNUMBER(SEARCH("-", _xlpm.result)), 0, _xlpm.result))</f>
        <v>2747517393</v>
      </c>
      <c r="F87">
        <v>521252629</v>
      </c>
      <c r="G87">
        <v>2.5288421052631578</v>
      </c>
      <c r="H87">
        <v>475.67700000000002</v>
      </c>
      <c r="I87">
        <v>2</v>
      </c>
      <c r="J87">
        <v>4</v>
      </c>
      <c r="K87">
        <v>2.8333333333333335</v>
      </c>
      <c r="L87">
        <v>3.5</v>
      </c>
      <c r="M87">
        <v>4.3760000000000003</v>
      </c>
      <c r="N87">
        <v>9.4600000000000009</v>
      </c>
      <c r="O87">
        <v>2</v>
      </c>
      <c r="P87">
        <v>4</v>
      </c>
      <c r="Q87">
        <v>3.3333333333333335</v>
      </c>
      <c r="R87">
        <v>3.5</v>
      </c>
      <c r="S87">
        <v>2.6666666666666665</v>
      </c>
      <c r="T87">
        <v>0</v>
      </c>
      <c r="U87">
        <v>0</v>
      </c>
      <c r="V87">
        <v>62138.48</v>
      </c>
      <c r="W87">
        <v>250</v>
      </c>
      <c r="X87">
        <v>86341.785999999993</v>
      </c>
      <c r="Y87">
        <v>32459.862999999998</v>
      </c>
      <c r="Z87">
        <v>184.21962551014906</v>
      </c>
      <c r="AA87">
        <v>138.08456582970635</v>
      </c>
      <c r="AB87">
        <v>-6.2070026836964727E-2</v>
      </c>
      <c r="AC87">
        <v>8.2263782244101531</v>
      </c>
      <c r="AD87">
        <f>D87*'ราคาต้นทุน (Asset)'!$E$1</f>
        <v>40761180</v>
      </c>
      <c r="AE87" s="1" cm="1">
        <f t="array" ref="AE87">_xlfn.LET(_xlpm.result,INDEX(ASSET!U:U, MATCH(TRIM($C87), TRIM(ASSET!$A:$A), 0)),IF(ISNUMBER(SEARCH("-", _xlpm.result)), 0, _xlpm.result))</f>
        <v>2004400</v>
      </c>
      <c r="AF87" s="66">
        <f>group_data_final[[#This Row],[ค่าบำรุงจุดกางเต็นท์]]/300000</f>
        <v>0</v>
      </c>
      <c r="AG87" s="1" cm="1">
        <f t="array" ref="AG87">_xlfn.LET(_xlpm.result,INDEX(ราคาค่าบำรุง!D:D, MATCH(TRIM($C87), TRIM(ราคาค่าบำรุง!$A:$A), 0)),IF(ISNUMBER(SEARCH("-", _xlpm.result)), 0, _xlpm.result))</f>
        <v>0</v>
      </c>
      <c r="AH87" s="66">
        <f>group_data_final[[#This Row],[ค่าบำรุงจุดพักรถ]]/300000</f>
        <v>2</v>
      </c>
      <c r="AI87" s="1" cm="1">
        <f t="array" ref="AI87">_xlfn.LET(_xlpm.result,INDEX(ราคาค่าบำรุง!F:F, MATCH(TRIM($C87), TRIM(ราคาค่าบำรุง!$A:$A), 0)),IF(ISNUMBER(SEARCH("-", _xlpm.result)), 0, _xlpm.result))</f>
        <v>600000</v>
      </c>
      <c r="AJ87" s="66">
        <f>group_data_final[[#This Row],[ค่าบำรุงภูมิสถาปัตย์]]/300000</f>
        <v>1</v>
      </c>
      <c r="AK87" s="1" cm="1">
        <f t="array" ref="AK87">_xlfn.LET(_xlpm.result,INDEX(ราคาค่าบำรุง!H:H, MATCH(TRIM($C87), TRIM(ราคาค่าบำรุง!$A:$A), 0)),IF(ISNUMBER(SEARCH("-", _xlpm.result)), 0, _xlpm.result))</f>
        <v>300000</v>
      </c>
      <c r="AL87">
        <f t="shared" si="2"/>
        <v>0</v>
      </c>
      <c r="AM87">
        <f>_xlfn.XLOOKUP(group_data_final[[#This Row],[depot_code]],C:C,แผน68!D:D)</f>
        <v>34308861</v>
      </c>
      <c r="AN87">
        <v>4975.3999999999996</v>
      </c>
    </row>
    <row r="88" spans="1:40">
      <c r="A88" t="s">
        <v>134</v>
      </c>
      <c r="B88" t="s">
        <v>140</v>
      </c>
      <c r="C88" s="39">
        <v>626</v>
      </c>
      <c r="D88" cm="1">
        <f t="array" ref="D88">_xlfn.LET(_xlpm.result,INDEX(ระยะทาง!C:C, MATCH(TRIM(C88), TRIM(ระยะทาง!$A:$A), 0)),IF(ISNUMBER(SEARCH("-", _xlpm.result)), 0, _xlpm.result))</f>
        <v>830.04300000000001</v>
      </c>
      <c r="E88" cm="1">
        <f t="array" ref="E88">_xlfn.LET(_xlpm.result,INDEX(ระยะทาง!D:D, MATCH(TRIM($C88), TRIM(ระยะทาง!$A:$A), 0)),IF(ISNUMBER(SEARCH("-", _xlpm.result)), 0, _xlpm.result))</f>
        <v>3092802372</v>
      </c>
      <c r="F88">
        <v>952655863</v>
      </c>
      <c r="G88">
        <v>2.7082857142857142</v>
      </c>
      <c r="H88">
        <v>487.74299999999999</v>
      </c>
      <c r="I88">
        <v>2</v>
      </c>
      <c r="J88">
        <v>6</v>
      </c>
      <c r="K88">
        <v>3.3076923076923075</v>
      </c>
      <c r="L88">
        <v>3.5</v>
      </c>
      <c r="M88">
        <v>5</v>
      </c>
      <c r="N88">
        <v>11.236000000000001</v>
      </c>
      <c r="O88">
        <v>4</v>
      </c>
      <c r="P88">
        <v>6</v>
      </c>
      <c r="Q88">
        <v>4.8</v>
      </c>
      <c r="R88">
        <v>3.5</v>
      </c>
      <c r="S88">
        <v>4.75</v>
      </c>
      <c r="T88">
        <v>0</v>
      </c>
      <c r="U88">
        <v>0</v>
      </c>
      <c r="V88">
        <v>123371.641</v>
      </c>
      <c r="W88">
        <v>20027.3</v>
      </c>
      <c r="X88">
        <v>340076.89600000007</v>
      </c>
      <c r="Y88">
        <v>103524.853</v>
      </c>
      <c r="Z88">
        <v>283.3697069715235</v>
      </c>
      <c r="AA88">
        <v>2813.7195345376535</v>
      </c>
      <c r="AB88">
        <v>-3.3721349171501977E-2</v>
      </c>
      <c r="AC88">
        <v>25.982206054005349</v>
      </c>
      <c r="AD88">
        <f>D88*'ราคาต้นทุน (Asset)'!$E$1</f>
        <v>49802580</v>
      </c>
      <c r="AE88" s="1" cm="1">
        <f t="array" ref="AE88">_xlfn.LET(_xlpm.result,INDEX(ASSET!U:U, MATCH(TRIM($C88), TRIM(ASSET!$A:$A), 0)),IF(ISNUMBER(SEARCH("-", _xlpm.result)), 0, _xlpm.result))</f>
        <v>3529700</v>
      </c>
      <c r="AF88" s="66">
        <f>group_data_final[[#This Row],[ค่าบำรุงจุดกางเต็นท์]]/300000</f>
        <v>0</v>
      </c>
      <c r="AG88" s="1" cm="1">
        <f t="array" ref="AG88">_xlfn.LET(_xlpm.result,INDEX(ราคาค่าบำรุง!D:D, MATCH(TRIM($C88), TRIM(ราคาค่าบำรุง!$A:$A), 0)),IF(ISNUMBER(SEARCH("-", _xlpm.result)), 0, _xlpm.result))</f>
        <v>0</v>
      </c>
      <c r="AH88" s="66">
        <f>group_data_final[[#This Row],[ค่าบำรุงจุดพักรถ]]/300000</f>
        <v>0</v>
      </c>
      <c r="AI88" s="1" cm="1">
        <f t="array" ref="AI88">_xlfn.LET(_xlpm.result,INDEX(ราคาค่าบำรุง!F:F, MATCH(TRIM($C88), TRIM(ราคาค่าบำรุง!$A:$A), 0)),IF(ISNUMBER(SEARCH("-", _xlpm.result)), 0, _xlpm.result))</f>
        <v>0</v>
      </c>
      <c r="AJ88" s="66">
        <f>group_data_final[[#This Row],[ค่าบำรุงภูมิสถาปัตย์]]/300000</f>
        <v>0</v>
      </c>
      <c r="AK88" s="1" cm="1">
        <f t="array" ref="AK88">_xlfn.LET(_xlpm.result,INDEX(ราคาค่าบำรุง!H:H, MATCH(TRIM($C88), TRIM(ราคาค่าบำรุง!$A:$A), 0)),IF(ISNUMBER(SEARCH("-", _xlpm.result)), 0, _xlpm.result))</f>
        <v>0</v>
      </c>
      <c r="AL88">
        <f t="shared" si="2"/>
        <v>0</v>
      </c>
      <c r="AM88">
        <f>_xlfn.XLOOKUP(group_data_final[[#This Row],[depot_code]],C:C,แผน68!D:D)</f>
        <v>115835052</v>
      </c>
      <c r="AN88">
        <v>6942.8</v>
      </c>
    </row>
    <row r="89" spans="1:40">
      <c r="A89" t="s">
        <v>134</v>
      </c>
      <c r="B89" t="s">
        <v>141</v>
      </c>
      <c r="C89" s="39">
        <v>627</v>
      </c>
      <c r="D89" cm="1">
        <f t="array" ref="D89">_xlfn.LET(_xlpm.result,INDEX(ระยะทาง!C:C, MATCH(TRIM(C89), TRIM(ระยะทาง!$A:$A), 0)),IF(ISNUMBER(SEARCH("-", _xlpm.result)), 0, _xlpm.result))</f>
        <v>687.24599999999998</v>
      </c>
      <c r="E89" cm="1">
        <f t="array" ref="E89">_xlfn.LET(_xlpm.result,INDEX(ระยะทาง!D:D, MATCH(TRIM($C89), TRIM(ระยะทาง!$A:$A), 0)),IF(ISNUMBER(SEARCH("-", _xlpm.result)), 0, _xlpm.result))</f>
        <v>1524982665</v>
      </c>
      <c r="F89">
        <v>514534910</v>
      </c>
      <c r="G89">
        <v>2.8774444444444445</v>
      </c>
      <c r="H89">
        <v>433.46300000000002</v>
      </c>
      <c r="I89">
        <v>2</v>
      </c>
      <c r="J89">
        <v>10</v>
      </c>
      <c r="K89">
        <v>4.625</v>
      </c>
      <c r="L89">
        <v>3.5</v>
      </c>
      <c r="M89">
        <v>5.18</v>
      </c>
      <c r="N89">
        <v>17.641000000000002</v>
      </c>
      <c r="O89">
        <v>4</v>
      </c>
      <c r="P89">
        <v>8</v>
      </c>
      <c r="Q89">
        <v>5.166666666666667</v>
      </c>
      <c r="R89">
        <v>3.5</v>
      </c>
      <c r="S89">
        <v>4.8536000000000001</v>
      </c>
      <c r="T89">
        <v>0</v>
      </c>
      <c r="U89">
        <v>0</v>
      </c>
      <c r="V89">
        <v>197092.86</v>
      </c>
      <c r="W89">
        <v>3574.1</v>
      </c>
      <c r="X89">
        <v>85664.592499999984</v>
      </c>
      <c r="Y89">
        <v>49189</v>
      </c>
      <c r="Z89">
        <v>225.27785798079816</v>
      </c>
      <c r="AA89">
        <v>336.82463638865806</v>
      </c>
      <c r="AB89">
        <v>0.11567536799393599</v>
      </c>
      <c r="AC89">
        <v>17.477603809247832</v>
      </c>
      <c r="AD89">
        <f>D89*'ราคาต้นทุน (Asset)'!$E$1</f>
        <v>41234760</v>
      </c>
      <c r="AE89" s="1" cm="1">
        <f t="array" ref="AE89">_xlfn.LET(_xlpm.result,INDEX(ASSET!U:U, MATCH(TRIM($C89), TRIM(ASSET!$A:$A), 0)),IF(ISNUMBER(SEARCH("-", _xlpm.result)), 0, _xlpm.result))</f>
        <v>3520800</v>
      </c>
      <c r="AF89" s="66">
        <f>group_data_final[[#This Row],[ค่าบำรุงจุดกางเต็นท์]]/300000</f>
        <v>1</v>
      </c>
      <c r="AG89" s="1" cm="1">
        <f t="array" ref="AG89">_xlfn.LET(_xlpm.result,INDEX(ราคาค่าบำรุง!D:D, MATCH(TRIM($C89), TRIM(ราคาค่าบำรุง!$A:$A), 0)),IF(ISNUMBER(SEARCH("-", _xlpm.result)), 0, _xlpm.result))</f>
        <v>300000</v>
      </c>
      <c r="AH89" s="66">
        <f>group_data_final[[#This Row],[ค่าบำรุงจุดพักรถ]]/300000</f>
        <v>3</v>
      </c>
      <c r="AI89" s="1" cm="1">
        <f t="array" ref="AI89">_xlfn.LET(_xlpm.result,INDEX(ราคาค่าบำรุง!F:F, MATCH(TRIM($C89), TRIM(ราคาค่าบำรุง!$A:$A), 0)),IF(ISNUMBER(SEARCH("-", _xlpm.result)), 0, _xlpm.result))</f>
        <v>900000</v>
      </c>
      <c r="AJ89" s="66">
        <f>group_data_final[[#This Row],[ค่าบำรุงภูมิสถาปัตย์]]/300000</f>
        <v>0</v>
      </c>
      <c r="AK89" s="1" cm="1">
        <f t="array" ref="AK89">_xlfn.LET(_xlpm.result,INDEX(ราคาค่าบำรุง!H:H, MATCH(TRIM($C89), TRIM(ราคาค่าบำรุง!$A:$A), 0)),IF(ISNUMBER(SEARCH("-", _xlpm.result)), 0, _xlpm.result))</f>
        <v>0</v>
      </c>
      <c r="AL89">
        <f t="shared" si="2"/>
        <v>0</v>
      </c>
      <c r="AM89">
        <f>_xlfn.XLOOKUP(group_data_final[[#This Row],[depot_code]],C:C,แผน68!D:D)</f>
        <v>48262457.539999999</v>
      </c>
      <c r="AN89">
        <v>5068</v>
      </c>
    </row>
    <row r="90" spans="1:40">
      <c r="A90" t="s">
        <v>134</v>
      </c>
      <c r="B90" t="s">
        <v>142</v>
      </c>
      <c r="C90" s="39">
        <v>628</v>
      </c>
      <c r="D90" cm="1">
        <f t="array" ref="D90">_xlfn.LET(_xlpm.result,INDEX(ระยะทาง!C:C, MATCH(TRIM(C90), TRIM(ระยะทาง!$A:$A), 0)),IF(ISNUMBER(SEARCH("-", _xlpm.result)), 0, _xlpm.result))</f>
        <v>645.69000000000005</v>
      </c>
      <c r="E90" cm="1">
        <f t="array" ref="E90">_xlfn.LET(_xlpm.result,INDEX(ระยะทาง!D:D, MATCH(TRIM($C90), TRIM(ระยะทาง!$A:$A), 0)),IF(ISNUMBER(SEARCH("-", _xlpm.result)), 0, _xlpm.result))</f>
        <v>1009229075</v>
      </c>
      <c r="F90">
        <v>1743129319</v>
      </c>
      <c r="G90">
        <v>2.3853999999999997</v>
      </c>
      <c r="H90">
        <v>427.97699999999998</v>
      </c>
      <c r="I90">
        <v>1</v>
      </c>
      <c r="J90">
        <v>6</v>
      </c>
      <c r="K90">
        <v>3.4</v>
      </c>
      <c r="L90">
        <v>3.5</v>
      </c>
      <c r="M90">
        <v>5</v>
      </c>
      <c r="N90">
        <v>1.1399999999999999</v>
      </c>
      <c r="O90">
        <v>4</v>
      </c>
      <c r="P90">
        <v>4</v>
      </c>
      <c r="Q90">
        <v>4</v>
      </c>
      <c r="R90">
        <v>3.5</v>
      </c>
      <c r="S90">
        <v>5</v>
      </c>
      <c r="T90">
        <v>0</v>
      </c>
      <c r="U90">
        <v>0</v>
      </c>
      <c r="V90">
        <v>37196.050999999999</v>
      </c>
      <c r="W90">
        <v>273</v>
      </c>
      <c r="X90">
        <v>62430.588000000003</v>
      </c>
      <c r="Y90">
        <v>46634.79</v>
      </c>
      <c r="Z90">
        <v>177.93828404890252</v>
      </c>
      <c r="AA90">
        <v>98.300632584699471</v>
      </c>
      <c r="AB90">
        <v>-1.2873886160789109E-2</v>
      </c>
      <c r="AC90">
        <v>5.3715956959215685</v>
      </c>
      <c r="AD90">
        <f>D90*'ราคาต้นทุน (Asset)'!$E$1</f>
        <v>38741400</v>
      </c>
      <c r="AE90" s="1" cm="1">
        <f t="array" ref="AE90">_xlfn.LET(_xlpm.result,INDEX(ASSET!U:U, MATCH(TRIM($C90), TRIM(ASSET!$A:$A), 0)),IF(ISNUMBER(SEARCH("-", _xlpm.result)), 0, _xlpm.result))</f>
        <v>2362900</v>
      </c>
      <c r="AF90" s="66">
        <f>group_data_final[[#This Row],[ค่าบำรุงจุดกางเต็นท์]]/300000</f>
        <v>3</v>
      </c>
      <c r="AG90" s="1" cm="1">
        <f t="array" ref="AG90">_xlfn.LET(_xlpm.result,INDEX(ราคาค่าบำรุง!D:D, MATCH(TRIM($C90), TRIM(ราคาค่าบำรุง!$A:$A), 0)),IF(ISNUMBER(SEARCH("-", _xlpm.result)), 0, _xlpm.result))</f>
        <v>900000</v>
      </c>
      <c r="AH90" s="66">
        <f>group_data_final[[#This Row],[ค่าบำรุงจุดพักรถ]]/300000</f>
        <v>2</v>
      </c>
      <c r="AI90" s="1" cm="1">
        <f t="array" ref="AI90">_xlfn.LET(_xlpm.result,INDEX(ราคาค่าบำรุง!F:F, MATCH(TRIM($C90), TRIM(ราคาค่าบำรุง!$A:$A), 0)),IF(ISNUMBER(SEARCH("-", _xlpm.result)), 0, _xlpm.result))</f>
        <v>600000</v>
      </c>
      <c r="AJ90" s="66">
        <f>group_data_final[[#This Row],[ค่าบำรุงภูมิสถาปัตย์]]/300000</f>
        <v>0</v>
      </c>
      <c r="AK90" s="1" cm="1">
        <f t="array" ref="AK90">_xlfn.LET(_xlpm.result,INDEX(ราคาค่าบำรุง!H:H, MATCH(TRIM($C90), TRIM(ราคาค่าบำรุง!$A:$A), 0)),IF(ISNUMBER(SEARCH("-", _xlpm.result)), 0, _xlpm.result))</f>
        <v>0</v>
      </c>
      <c r="AL90">
        <f t="shared" si="2"/>
        <v>0</v>
      </c>
      <c r="AM90">
        <f>_xlfn.XLOOKUP(group_data_final[[#This Row],[depot_code]],C:C,แผน68!D:D)</f>
        <v>20132405.359999999</v>
      </c>
      <c r="AN90">
        <v>5280</v>
      </c>
    </row>
    <row r="91" spans="1:40">
      <c r="A91" t="s">
        <v>118</v>
      </c>
      <c r="B91" t="s">
        <v>143</v>
      </c>
      <c r="C91" s="39">
        <v>629</v>
      </c>
      <c r="D91" cm="1">
        <f t="array" ref="D91">_xlfn.LET(_xlpm.result,INDEX(ระยะทาง!C:C, MATCH(TRIM(C91), TRIM(ระยะทาง!$A:$A), 0)),IF(ISNUMBER(SEARCH("-", _xlpm.result)), 0, _xlpm.result))</f>
        <v>534.08699999999999</v>
      </c>
      <c r="E91" cm="1">
        <f t="array" ref="E91">_xlfn.LET(_xlpm.result,INDEX(ระยะทาง!D:D, MATCH(TRIM($C91), TRIM(ระยะทาง!$A:$A), 0)),IF(ISNUMBER(SEARCH("-", _xlpm.result)), 0, _xlpm.result))</f>
        <v>1994726698</v>
      </c>
      <c r="F91">
        <v>1513578325</v>
      </c>
      <c r="G91">
        <v>2.4503750000000002</v>
      </c>
      <c r="H91">
        <v>248.68100000000001</v>
      </c>
      <c r="I91">
        <v>1</v>
      </c>
      <c r="J91">
        <v>6</v>
      </c>
      <c r="K91">
        <v>3.25</v>
      </c>
      <c r="L91">
        <v>7</v>
      </c>
      <c r="M91">
        <v>5</v>
      </c>
      <c r="N91">
        <v>80.885000000000005</v>
      </c>
      <c r="O91">
        <v>1</v>
      </c>
      <c r="P91">
        <v>6</v>
      </c>
      <c r="Q91">
        <v>4.166666666666667</v>
      </c>
      <c r="R91">
        <v>4.2</v>
      </c>
      <c r="S91">
        <v>3.15</v>
      </c>
      <c r="T91">
        <v>12025</v>
      </c>
      <c r="U91">
        <v>0</v>
      </c>
      <c r="V91">
        <v>119956.363</v>
      </c>
      <c r="W91">
        <v>6297</v>
      </c>
      <c r="X91">
        <v>75946.138000000006</v>
      </c>
      <c r="Y91">
        <v>116596.371</v>
      </c>
      <c r="Z91">
        <v>219.83077400575007</v>
      </c>
      <c r="AA91">
        <v>203.19750932279828</v>
      </c>
      <c r="AB91">
        <v>7.9749258735528239E-2</v>
      </c>
      <c r="AC91">
        <v>12.668689992606927</v>
      </c>
      <c r="AD91">
        <f>D91*'ราคาต้นทุน (Asset)'!$E$1</f>
        <v>32045220</v>
      </c>
      <c r="AE91" s="1" cm="1">
        <f t="array" ref="AE91">_xlfn.LET(_xlpm.result,INDEX(ASSET!U:U, MATCH(TRIM($C91), TRIM(ASSET!$A:$A), 0)),IF(ISNUMBER(SEARCH("-", _xlpm.result)), 0, _xlpm.result))</f>
        <v>2558700</v>
      </c>
      <c r="AF91" s="66">
        <f>group_data_final[[#This Row],[ค่าบำรุงจุดกางเต็นท์]]/300000</f>
        <v>0</v>
      </c>
      <c r="AG91" s="1" cm="1">
        <f t="array" ref="AG91">_xlfn.LET(_xlpm.result,INDEX(ราคาค่าบำรุง!D:D, MATCH(TRIM($C91), TRIM(ราคาค่าบำรุง!$A:$A), 0)),IF(ISNUMBER(SEARCH("-", _xlpm.result)), 0, _xlpm.result))</f>
        <v>0</v>
      </c>
      <c r="AH91" s="66">
        <f>group_data_final[[#This Row],[ค่าบำรุงจุดพักรถ]]/300000</f>
        <v>0</v>
      </c>
      <c r="AI91" s="1" cm="1">
        <f t="array" ref="AI91">_xlfn.LET(_xlpm.result,INDEX(ราคาค่าบำรุง!F:F, MATCH(TRIM($C91), TRIM(ราคาค่าบำรุง!$A:$A), 0)),IF(ISNUMBER(SEARCH("-", _xlpm.result)), 0, _xlpm.result))</f>
        <v>0</v>
      </c>
      <c r="AJ91" s="66">
        <f>group_data_final[[#This Row],[ค่าบำรุงภูมิสถาปัตย์]]/300000</f>
        <v>0</v>
      </c>
      <c r="AK91" s="1" cm="1">
        <f t="array" ref="AK91">_xlfn.LET(_xlpm.result,INDEX(ราคาค่าบำรุง!H:H, MATCH(TRIM($C91), TRIM(ราคาค่าบำรุง!$A:$A), 0)),IF(ISNUMBER(SEARCH("-", _xlpm.result)), 0, _xlpm.result))</f>
        <v>0</v>
      </c>
      <c r="AL91">
        <f t="shared" si="2"/>
        <v>0</v>
      </c>
      <c r="AM91">
        <f>_xlfn.XLOOKUP(group_data_final[[#This Row],[depot_code]],C:C,แผน68!D:D)</f>
        <v>23887668.25</v>
      </c>
      <c r="AN91">
        <v>2332.5</v>
      </c>
    </row>
    <row r="92" spans="1:40">
      <c r="A92" t="s">
        <v>129</v>
      </c>
      <c r="B92" t="s">
        <v>144</v>
      </c>
      <c r="C92" s="39">
        <v>631</v>
      </c>
      <c r="D92" cm="1">
        <f t="array" ref="D92">_xlfn.LET(_xlpm.result,INDEX(ระยะทาง!C:C, MATCH(TRIM(C92), TRIM(ระยะทาง!$A:$A), 0)),IF(ISNUMBER(SEARCH("-", _xlpm.result)), 0, _xlpm.result))</f>
        <v>681.58500000000004</v>
      </c>
      <c r="E92" cm="1">
        <f t="array" ref="E92">_xlfn.LET(_xlpm.result,INDEX(ระยะทาง!D:D, MATCH(TRIM($C92), TRIM(ระยะทาง!$A:$A), 0)),IF(ISNUMBER(SEARCH("-", _xlpm.result)), 0, _xlpm.result))</f>
        <v>2837929012</v>
      </c>
      <c r="F92">
        <v>182203618</v>
      </c>
      <c r="G92">
        <v>2.5269333333333335</v>
      </c>
      <c r="H92">
        <v>485.98199999999997</v>
      </c>
      <c r="I92">
        <v>1</v>
      </c>
      <c r="J92">
        <v>8</v>
      </c>
      <c r="K92">
        <v>3.2666666666666666</v>
      </c>
      <c r="L92">
        <v>3.5</v>
      </c>
      <c r="M92">
        <v>5</v>
      </c>
      <c r="N92">
        <v>27.712</v>
      </c>
      <c r="O92">
        <v>2</v>
      </c>
      <c r="P92">
        <v>8</v>
      </c>
      <c r="Q92">
        <v>4.875</v>
      </c>
      <c r="R92">
        <v>3.5</v>
      </c>
      <c r="S92">
        <v>5.125</v>
      </c>
      <c r="T92">
        <v>0</v>
      </c>
      <c r="U92">
        <v>10201</v>
      </c>
      <c r="V92">
        <v>128266.6</v>
      </c>
      <c r="W92">
        <v>2034.9</v>
      </c>
      <c r="X92">
        <v>109588.20400000001</v>
      </c>
      <c r="Y92">
        <v>90798.187999999995</v>
      </c>
      <c r="Z92">
        <v>117.93882513258733</v>
      </c>
      <c r="AA92">
        <v>44.364150129287701</v>
      </c>
      <c r="AB92">
        <v>-1.4132145275342572E-2</v>
      </c>
      <c r="AC92">
        <v>13.239974166133312</v>
      </c>
      <c r="AD92">
        <f>D92*'ราคาต้นทุน (Asset)'!$E$1</f>
        <v>40895100</v>
      </c>
      <c r="AE92" s="1" cm="1">
        <f t="array" ref="AE92">_xlfn.LET(_xlpm.result,INDEX(ASSET!U:U, MATCH(TRIM($C92), TRIM(ASSET!$A:$A), 0)),IF(ISNUMBER(SEARCH("-", _xlpm.result)), 0, _xlpm.result))</f>
        <v>2895600</v>
      </c>
      <c r="AF92" s="66">
        <f>group_data_final[[#This Row],[ค่าบำรุงจุดกางเต็นท์]]/300000</f>
        <v>0</v>
      </c>
      <c r="AG92" s="1" cm="1">
        <f t="array" ref="AG92">_xlfn.LET(_xlpm.result,INDEX(ราคาค่าบำรุง!D:D, MATCH(TRIM($C92), TRIM(ราคาค่าบำรุง!$A:$A), 0)),IF(ISNUMBER(SEARCH("-", _xlpm.result)), 0, _xlpm.result))</f>
        <v>0</v>
      </c>
      <c r="AH92" s="66">
        <f>group_data_final[[#This Row],[ค่าบำรุงจุดพักรถ]]/300000</f>
        <v>1</v>
      </c>
      <c r="AI92" s="1" cm="1">
        <f t="array" ref="AI92">_xlfn.LET(_xlpm.result,INDEX(ราคาค่าบำรุง!F:F, MATCH(TRIM($C92), TRIM(ราคาค่าบำรุง!$A:$A), 0)),IF(ISNUMBER(SEARCH("-", _xlpm.result)), 0, _xlpm.result))</f>
        <v>300000</v>
      </c>
      <c r="AJ92" s="66">
        <f>group_data_final[[#This Row],[ค่าบำรุงภูมิสถาปัตย์]]/300000</f>
        <v>1</v>
      </c>
      <c r="AK92" s="1" cm="1">
        <f t="array" ref="AK92">_xlfn.LET(_xlpm.result,INDEX(ราคาค่าบำรุง!H:H, MATCH(TRIM($C92), TRIM(ราคาค่าบำรุง!$A:$A), 0)),IF(ISNUMBER(SEARCH("-", _xlpm.result)), 0, _xlpm.result))</f>
        <v>300000</v>
      </c>
      <c r="AL92">
        <f t="shared" si="2"/>
        <v>0</v>
      </c>
      <c r="AM92">
        <f>_xlfn.XLOOKUP(group_data_final[[#This Row],[depot_code]],C:C,แผน68!D:D)</f>
        <v>30781563.02</v>
      </c>
      <c r="AN92">
        <v>7419</v>
      </c>
    </row>
    <row r="93" spans="1:40">
      <c r="A93" t="s">
        <v>129</v>
      </c>
      <c r="B93" t="s">
        <v>145</v>
      </c>
      <c r="C93" s="39">
        <v>632</v>
      </c>
      <c r="D93" cm="1">
        <f t="array" ref="D93">_xlfn.LET(_xlpm.result,INDEX(ระยะทาง!C:C, MATCH(TRIM(C93), TRIM(ระยะทาง!$A:$A), 0)),IF(ISNUMBER(SEARCH("-", _xlpm.result)), 0, _xlpm.result))</f>
        <v>678.73699999999997</v>
      </c>
      <c r="E93" cm="1">
        <f t="array" ref="E93">_xlfn.LET(_xlpm.result,INDEX(ระยะทาง!D:D, MATCH(TRIM($C93), TRIM(ระยะทาง!$A:$A), 0)),IF(ISNUMBER(SEARCH("-", _xlpm.result)), 0, _xlpm.result))</f>
        <v>3455141203</v>
      </c>
      <c r="F93">
        <v>264584953</v>
      </c>
      <c r="G93">
        <v>2.7022727272727276</v>
      </c>
      <c r="H93">
        <v>332.12099999999998</v>
      </c>
      <c r="I93">
        <v>1</v>
      </c>
      <c r="J93">
        <v>8</v>
      </c>
      <c r="K93">
        <v>2.8181818181818183</v>
      </c>
      <c r="L93">
        <v>4.3550000000000004</v>
      </c>
      <c r="M93">
        <v>6.25</v>
      </c>
      <c r="N93">
        <v>3.6970000000000001</v>
      </c>
      <c r="O93">
        <v>4</v>
      </c>
      <c r="P93">
        <v>8</v>
      </c>
      <c r="Q93">
        <v>5</v>
      </c>
      <c r="R93">
        <v>3.5</v>
      </c>
      <c r="S93">
        <v>5</v>
      </c>
      <c r="T93">
        <v>0</v>
      </c>
      <c r="U93">
        <v>0</v>
      </c>
      <c r="V93">
        <v>63853.649999999994</v>
      </c>
      <c r="W93">
        <v>1675</v>
      </c>
      <c r="X93">
        <v>135061.19</v>
      </c>
      <c r="Y93">
        <v>106902.356</v>
      </c>
      <c r="Z93">
        <v>146.99492059378974</v>
      </c>
      <c r="AA93">
        <v>171.21254993214887</v>
      </c>
      <c r="AB93">
        <v>7.4021965588661601E-2</v>
      </c>
      <c r="AC93">
        <v>12.522181304120181</v>
      </c>
      <c r="AD93">
        <f>D93*'ราคาต้นทุน (Asset)'!$E$1</f>
        <v>40724220</v>
      </c>
      <c r="AE93" s="1" cm="1">
        <f t="array" ref="AE93">_xlfn.LET(_xlpm.result,INDEX(ASSET!U:U, MATCH(TRIM($C93), TRIM(ASSET!$A:$A), 0)),IF(ISNUMBER(SEARCH("-", _xlpm.result)), 0, _xlpm.result))</f>
        <v>3154900</v>
      </c>
      <c r="AF93" s="66">
        <f>group_data_final[[#This Row],[ค่าบำรุงจุดกางเต็นท์]]/300000</f>
        <v>0</v>
      </c>
      <c r="AG93" s="1" cm="1">
        <f t="array" ref="AG93">_xlfn.LET(_xlpm.result,INDEX(ราคาค่าบำรุง!D:D, MATCH(TRIM($C93), TRIM(ราคาค่าบำรุง!$A:$A), 0)),IF(ISNUMBER(SEARCH("-", _xlpm.result)), 0, _xlpm.result))</f>
        <v>0</v>
      </c>
      <c r="AH93" s="66">
        <f>group_data_final[[#This Row],[ค่าบำรุงจุดพักรถ]]/300000</f>
        <v>0</v>
      </c>
      <c r="AI93" s="1" cm="1">
        <f t="array" ref="AI93">_xlfn.LET(_xlpm.result,INDEX(ราคาค่าบำรุง!F:F, MATCH(TRIM($C93), TRIM(ราคาค่าบำรุง!$A:$A), 0)),IF(ISNUMBER(SEARCH("-", _xlpm.result)), 0, _xlpm.result))</f>
        <v>0</v>
      </c>
      <c r="AJ93" s="66">
        <f>group_data_final[[#This Row],[ค่าบำรุงภูมิสถาปัตย์]]/300000</f>
        <v>0</v>
      </c>
      <c r="AK93" s="1" cm="1">
        <f t="array" ref="AK93">_xlfn.LET(_xlpm.result,INDEX(ราคาค่าบำรุง!H:H, MATCH(TRIM($C93), TRIM(ราคาค่าบำรุง!$A:$A), 0)),IF(ISNUMBER(SEARCH("-", _xlpm.result)), 0, _xlpm.result))</f>
        <v>0</v>
      </c>
      <c r="AL93">
        <f t="shared" si="2"/>
        <v>0</v>
      </c>
      <c r="AM93">
        <f>_xlfn.XLOOKUP(group_data_final[[#This Row],[depot_code]],C:C,แผน68!D:D)</f>
        <v>31476285.129999999</v>
      </c>
      <c r="AN93">
        <v>6151.5</v>
      </c>
    </row>
    <row r="94" spans="1:40">
      <c r="A94" t="s">
        <v>136</v>
      </c>
      <c r="B94" t="s">
        <v>146</v>
      </c>
      <c r="C94" s="39">
        <v>633</v>
      </c>
      <c r="D94" cm="1">
        <f t="array" ref="D94">_xlfn.LET(_xlpm.result,INDEX(ระยะทาง!C:C, MATCH(TRIM(C94), TRIM(ระยะทาง!$A:$A), 0)),IF(ISNUMBER(SEARCH("-", _xlpm.result)), 0, _xlpm.result))</f>
        <v>714.72400000000005</v>
      </c>
      <c r="E94" cm="1">
        <f t="array" ref="E94">_xlfn.LET(_xlpm.result,INDEX(ระยะทาง!D:D, MATCH(TRIM($C94), TRIM(ระยะทาง!$A:$A), 0)),IF(ISNUMBER(SEARCH("-", _xlpm.result)), 0, _xlpm.result))</f>
        <v>1348553253</v>
      </c>
      <c r="F94">
        <v>593188455</v>
      </c>
      <c r="G94">
        <v>2.2221538461538461</v>
      </c>
      <c r="H94">
        <v>461.72500000000002</v>
      </c>
      <c r="I94">
        <v>1</v>
      </c>
      <c r="J94">
        <v>6</v>
      </c>
      <c r="K94">
        <v>4.0769230769230766</v>
      </c>
      <c r="L94">
        <v>3.5</v>
      </c>
      <c r="M94">
        <v>6.4379999999999997</v>
      </c>
      <c r="N94">
        <v>30.096</v>
      </c>
      <c r="O94">
        <v>4</v>
      </c>
      <c r="P94">
        <v>6</v>
      </c>
      <c r="Q94">
        <v>4.166666666666667</v>
      </c>
      <c r="R94">
        <v>3.5</v>
      </c>
      <c r="S94">
        <v>5</v>
      </c>
      <c r="T94">
        <v>0</v>
      </c>
      <c r="U94">
        <v>0</v>
      </c>
      <c r="V94">
        <v>104737.88</v>
      </c>
      <c r="W94">
        <v>17851.64</v>
      </c>
      <c r="X94">
        <v>166736.432</v>
      </c>
      <c r="Y94">
        <v>107847.5</v>
      </c>
      <c r="Z94">
        <v>138.49809968308273</v>
      </c>
      <c r="AA94">
        <v>380.09858309733141</v>
      </c>
      <c r="AB94">
        <v>4.9988523597447362E-2</v>
      </c>
      <c r="AC94">
        <v>10.035435674877847</v>
      </c>
      <c r="AD94">
        <f>D94*'ราคาต้นทุน (Asset)'!$E$1</f>
        <v>42883440</v>
      </c>
      <c r="AE94" s="1" cm="1">
        <f t="array" ref="AE94">_xlfn.LET(_xlpm.result,INDEX(ASSET!U:U, MATCH(TRIM($C94), TRIM(ASSET!$A:$A), 0)),IF(ISNUMBER(SEARCH("-", _xlpm.result)), 0, _xlpm.result))</f>
        <v>3813800</v>
      </c>
      <c r="AF94" s="66">
        <f>group_data_final[[#This Row],[ค่าบำรุงจุดกางเต็นท์]]/300000</f>
        <v>2</v>
      </c>
      <c r="AG94" s="1" cm="1">
        <f t="array" ref="AG94">_xlfn.LET(_xlpm.result,INDEX(ราคาค่าบำรุง!D:D, MATCH(TRIM($C94), TRIM(ราคาค่าบำรุง!$A:$A), 0)),IF(ISNUMBER(SEARCH("-", _xlpm.result)), 0, _xlpm.result))</f>
        <v>600000</v>
      </c>
      <c r="AH94" s="66">
        <f>group_data_final[[#This Row],[ค่าบำรุงจุดพักรถ]]/300000</f>
        <v>1</v>
      </c>
      <c r="AI94" s="1" cm="1">
        <f t="array" ref="AI94">_xlfn.LET(_xlpm.result,INDEX(ราคาค่าบำรุง!F:F, MATCH(TRIM($C94), TRIM(ราคาค่าบำรุง!$A:$A), 0)),IF(ISNUMBER(SEARCH("-", _xlpm.result)), 0, _xlpm.result))</f>
        <v>300000</v>
      </c>
      <c r="AJ94" s="66">
        <f>group_data_final[[#This Row],[ค่าบำรุงภูมิสถาปัตย์]]/300000</f>
        <v>0</v>
      </c>
      <c r="AK94" s="1" cm="1">
        <f t="array" ref="AK94">_xlfn.LET(_xlpm.result,INDEX(ราคาค่าบำรุง!H:H, MATCH(TRIM($C94), TRIM(ราคาค่าบำรุง!$A:$A), 0)),IF(ISNUMBER(SEARCH("-", _xlpm.result)), 0, _xlpm.result))</f>
        <v>0</v>
      </c>
      <c r="AL94">
        <f t="shared" si="2"/>
        <v>0</v>
      </c>
      <c r="AM94">
        <f>_xlfn.XLOOKUP(group_data_final[[#This Row],[depot_code]],C:C,แผน68!D:D)</f>
        <v>16316511</v>
      </c>
      <c r="AN94">
        <v>5807.8</v>
      </c>
    </row>
    <row r="95" spans="1:40">
      <c r="A95" t="s">
        <v>129</v>
      </c>
      <c r="B95" t="s">
        <v>147</v>
      </c>
      <c r="C95" s="39">
        <v>634</v>
      </c>
      <c r="D95" cm="1">
        <f t="array" ref="D95">_xlfn.LET(_xlpm.result,INDEX(ระยะทาง!C:C, MATCH(TRIM(C95), TRIM(ระยะทาง!$A:$A), 0)),IF(ISNUMBER(SEARCH("-", _xlpm.result)), 0, _xlpm.result))</f>
        <v>762.27499999999998</v>
      </c>
      <c r="E95" cm="1">
        <f t="array" ref="E95">_xlfn.LET(_xlpm.result,INDEX(ระยะทาง!D:D, MATCH(TRIM($C95), TRIM(ระยะทาง!$A:$A), 0)),IF(ISNUMBER(SEARCH("-", _xlpm.result)), 0, _xlpm.result))</f>
        <v>3125199114</v>
      </c>
      <c r="F95">
        <v>276691963</v>
      </c>
      <c r="G95">
        <v>2.2854999999999999</v>
      </c>
      <c r="H95">
        <v>353.63799999999998</v>
      </c>
      <c r="I95">
        <v>2</v>
      </c>
      <c r="J95">
        <v>8</v>
      </c>
      <c r="K95">
        <v>3.75</v>
      </c>
      <c r="L95">
        <v>3.569</v>
      </c>
      <c r="M95">
        <v>5</v>
      </c>
      <c r="N95">
        <v>28.876999999999999</v>
      </c>
      <c r="O95">
        <v>4</v>
      </c>
      <c r="P95">
        <v>8</v>
      </c>
      <c r="Q95">
        <v>4.75</v>
      </c>
      <c r="R95">
        <v>3.4249999999999998</v>
      </c>
      <c r="S95">
        <v>5</v>
      </c>
      <c r="T95">
        <v>0</v>
      </c>
      <c r="U95">
        <v>0</v>
      </c>
      <c r="V95">
        <v>114583.45999999999</v>
      </c>
      <c r="W95">
        <v>5769.4</v>
      </c>
      <c r="X95">
        <v>168562.20800000004</v>
      </c>
      <c r="Y95">
        <v>11759.722</v>
      </c>
      <c r="Z95">
        <v>148.85014991442495</v>
      </c>
      <c r="AA95">
        <v>80.753777406833336</v>
      </c>
      <c r="AB95">
        <v>8.2327914999514265E-2</v>
      </c>
      <c r="AC95">
        <v>9.5665766857031649</v>
      </c>
      <c r="AD95">
        <f>D95*'ราคาต้นทุน (Asset)'!$E$1</f>
        <v>45736500</v>
      </c>
      <c r="AE95" s="1" cm="1">
        <f t="array" ref="AE95">_xlfn.LET(_xlpm.result,INDEX(ASSET!U:U, MATCH(TRIM($C95), TRIM(ASSET!$A:$A), 0)),IF(ISNUMBER(SEARCH("-", _xlpm.result)), 0, _xlpm.result))</f>
        <v>3904900</v>
      </c>
      <c r="AF95" s="66">
        <f>group_data_final[[#This Row],[ค่าบำรุงจุดกางเต็นท์]]/300000</f>
        <v>0</v>
      </c>
      <c r="AG95" s="1" cm="1">
        <f t="array" ref="AG95">_xlfn.LET(_xlpm.result,INDEX(ราคาค่าบำรุง!D:D, MATCH(TRIM($C95), TRIM(ราคาค่าบำรุง!$A:$A), 0)),IF(ISNUMBER(SEARCH("-", _xlpm.result)), 0, _xlpm.result))</f>
        <v>0</v>
      </c>
      <c r="AH95" s="66">
        <f>group_data_final[[#This Row],[ค่าบำรุงจุดพักรถ]]/300000</f>
        <v>3</v>
      </c>
      <c r="AI95" s="1" cm="1">
        <f t="array" ref="AI95">_xlfn.LET(_xlpm.result,INDEX(ราคาค่าบำรุง!F:F, MATCH(TRIM($C95), TRIM(ราคาค่าบำรุง!$A:$A), 0)),IF(ISNUMBER(SEARCH("-", _xlpm.result)), 0, _xlpm.result))</f>
        <v>900000</v>
      </c>
      <c r="AJ95" s="66">
        <f>group_data_final[[#This Row],[ค่าบำรุงภูมิสถาปัตย์]]/300000</f>
        <v>1</v>
      </c>
      <c r="AK95" s="1" cm="1">
        <f t="array" ref="AK95">_xlfn.LET(_xlpm.result,INDEX(ราคาค่าบำรุง!H:H, MATCH(TRIM($C95), TRIM(ราคาค่าบำรุง!$A:$A), 0)),IF(ISNUMBER(SEARCH("-", _xlpm.result)), 0, _xlpm.result))</f>
        <v>300000</v>
      </c>
      <c r="AL95">
        <f t="shared" si="2"/>
        <v>0</v>
      </c>
      <c r="AM95">
        <f>_xlfn.XLOOKUP(group_data_final[[#This Row],[depot_code]],C:C,แผน68!D:D)</f>
        <v>16720167.5</v>
      </c>
      <c r="AN95">
        <v>6656.7</v>
      </c>
    </row>
    <row r="96" spans="1:40">
      <c r="A96" t="s">
        <v>136</v>
      </c>
      <c r="B96" t="s">
        <v>148</v>
      </c>
      <c r="C96" s="39">
        <v>635</v>
      </c>
      <c r="D96" cm="1">
        <f t="array" ref="D96">_xlfn.LET(_xlpm.result,INDEX(ระยะทาง!C:C, MATCH(TRIM(C96), TRIM(ระยะทาง!$A:$A), 0)),IF(ISNUMBER(SEARCH("-", _xlpm.result)), 0, _xlpm.result))</f>
        <v>883.61</v>
      </c>
      <c r="E96" cm="1">
        <f t="array" ref="E96">_xlfn.LET(_xlpm.result,INDEX(ระยะทาง!D:D, MATCH(TRIM($C96), TRIM(ระยะทาง!$A:$A), 0)),IF(ISNUMBER(SEARCH("-", _xlpm.result)), 0, _xlpm.result))</f>
        <v>6560568215</v>
      </c>
      <c r="F96">
        <v>582593190</v>
      </c>
      <c r="G96">
        <v>2.1139999999999999</v>
      </c>
      <c r="H96">
        <v>399.904</v>
      </c>
      <c r="I96">
        <v>1</v>
      </c>
      <c r="J96">
        <v>8</v>
      </c>
      <c r="K96">
        <v>4.25</v>
      </c>
      <c r="L96">
        <v>3.508</v>
      </c>
      <c r="M96">
        <v>5.0209999999999999</v>
      </c>
      <c r="N96">
        <v>13.931999999999999</v>
      </c>
      <c r="O96">
        <v>4</v>
      </c>
      <c r="P96">
        <v>6</v>
      </c>
      <c r="Q96">
        <v>4.5</v>
      </c>
      <c r="R96">
        <v>3.4976666666666669</v>
      </c>
      <c r="S96">
        <v>4.4856666666666669</v>
      </c>
      <c r="T96">
        <v>0</v>
      </c>
      <c r="U96">
        <v>0</v>
      </c>
      <c r="V96">
        <v>84506.319000000003</v>
      </c>
      <c r="W96">
        <v>53034.8</v>
      </c>
      <c r="X96">
        <v>160415.84199999998</v>
      </c>
      <c r="Y96">
        <v>143936</v>
      </c>
      <c r="Z96">
        <v>147.5148116121384</v>
      </c>
      <c r="AA96">
        <v>35.455692832782574</v>
      </c>
      <c r="AB96">
        <v>2.0802371559758781E-2</v>
      </c>
      <c r="AC96">
        <v>5.9101415764222542</v>
      </c>
      <c r="AD96">
        <f>D96*'ราคาต้นทุน (Asset)'!$E$1</f>
        <v>53016600</v>
      </c>
      <c r="AE96" s="1" cm="1">
        <f t="array" ref="AE96">_xlfn.LET(_xlpm.result,INDEX(ASSET!U:U, MATCH(TRIM($C96), TRIM(ASSET!$A:$A), 0)),IF(ISNUMBER(SEARCH("-", _xlpm.result)), 0, _xlpm.result))</f>
        <v>4067400</v>
      </c>
      <c r="AF96" s="66">
        <f>group_data_final[[#This Row],[ค่าบำรุงจุดกางเต็นท์]]/300000</f>
        <v>0</v>
      </c>
      <c r="AG96" s="1" cm="1">
        <f t="array" ref="AG96">_xlfn.LET(_xlpm.result,INDEX(ราคาค่าบำรุง!D:D, MATCH(TRIM($C96), TRIM(ราคาค่าบำรุง!$A:$A), 0)),IF(ISNUMBER(SEARCH("-", _xlpm.result)), 0, _xlpm.result))</f>
        <v>0</v>
      </c>
      <c r="AH96" s="66">
        <f>group_data_final[[#This Row],[ค่าบำรุงจุดพักรถ]]/300000</f>
        <v>0</v>
      </c>
      <c r="AI96" s="1" cm="1">
        <f t="array" ref="AI96">_xlfn.LET(_xlpm.result,INDEX(ราคาค่าบำรุง!F:F, MATCH(TRIM($C96), TRIM(ราคาค่าบำรุง!$A:$A), 0)),IF(ISNUMBER(SEARCH("-", _xlpm.result)), 0, _xlpm.result))</f>
        <v>0</v>
      </c>
      <c r="AJ96" s="66">
        <f>group_data_final[[#This Row],[ค่าบำรุงภูมิสถาปัตย์]]/300000</f>
        <v>0</v>
      </c>
      <c r="AK96" s="1" cm="1">
        <f t="array" ref="AK96">_xlfn.LET(_xlpm.result,INDEX(ราคาค่าบำรุง!H:H, MATCH(TRIM($C96), TRIM(ราคาค่าบำรุง!$A:$A), 0)),IF(ISNUMBER(SEARCH("-", _xlpm.result)), 0, _xlpm.result))</f>
        <v>0</v>
      </c>
      <c r="AL96">
        <f t="shared" si="2"/>
        <v>0</v>
      </c>
      <c r="AM96">
        <f>_xlfn.XLOOKUP(group_data_final[[#This Row],[depot_code]],C:C,แผน68!D:D)</f>
        <v>40211709</v>
      </c>
      <c r="AN96">
        <v>3988.9</v>
      </c>
    </row>
    <row r="97" spans="1:40">
      <c r="A97" t="s">
        <v>129</v>
      </c>
      <c r="B97" t="s">
        <v>149</v>
      </c>
      <c r="C97" s="39">
        <v>636</v>
      </c>
      <c r="D97" cm="1">
        <f t="array" ref="D97">_xlfn.LET(_xlpm.result,INDEX(ระยะทาง!C:C, MATCH(TRIM(C97), TRIM(ระยะทาง!$A:$A), 0)),IF(ISNUMBER(SEARCH("-", _xlpm.result)), 0, _xlpm.result))</f>
        <v>681.38300000000004</v>
      </c>
      <c r="E97" cm="1">
        <f t="array" ref="E97">_xlfn.LET(_xlpm.result,INDEX(ระยะทาง!D:D, MATCH(TRIM($C97), TRIM(ระยะทาง!$A:$A), 0)),IF(ISNUMBER(SEARCH("-", _xlpm.result)), 0, _xlpm.result))</f>
        <v>1530592817</v>
      </c>
      <c r="F97">
        <v>59132123</v>
      </c>
      <c r="G97">
        <v>2.309333333333333</v>
      </c>
      <c r="H97">
        <v>79.168000000000006</v>
      </c>
      <c r="I97">
        <v>2</v>
      </c>
      <c r="J97">
        <v>4</v>
      </c>
      <c r="K97">
        <v>2.6666666666666665</v>
      </c>
      <c r="L97">
        <v>3.5</v>
      </c>
      <c r="M97">
        <v>5</v>
      </c>
      <c r="N97">
        <v>31.803999999999998</v>
      </c>
      <c r="O97">
        <v>4</v>
      </c>
      <c r="P97">
        <v>4</v>
      </c>
      <c r="Q97">
        <v>4</v>
      </c>
      <c r="R97">
        <v>3.5</v>
      </c>
      <c r="S97">
        <v>5</v>
      </c>
      <c r="T97">
        <v>0</v>
      </c>
      <c r="U97">
        <v>0</v>
      </c>
      <c r="V97">
        <v>95127.959999999992</v>
      </c>
      <c r="W97">
        <v>21599.5</v>
      </c>
      <c r="X97">
        <v>196992.454</v>
      </c>
      <c r="Y97">
        <v>52262</v>
      </c>
      <c r="Z97">
        <v>172.94053207981801</v>
      </c>
      <c r="AA97">
        <v>2011.445632470017</v>
      </c>
      <c r="AB97">
        <v>0.25875513680037132</v>
      </c>
      <c r="AC97">
        <v>17.940072949623797</v>
      </c>
      <c r="AD97">
        <f>D97*'ราคาต้นทุน (Asset)'!$E$1</f>
        <v>40882980</v>
      </c>
      <c r="AE97" s="1" cm="1">
        <f t="array" ref="AE97">_xlfn.LET(_xlpm.result,INDEX(ASSET!U:U, MATCH(TRIM($C97), TRIM(ASSET!$A:$A), 0)),IF(ISNUMBER(SEARCH("-", _xlpm.result)), 0, _xlpm.result))</f>
        <v>2457000</v>
      </c>
      <c r="AF97" s="66">
        <f>group_data_final[[#This Row],[ค่าบำรุงจุดกางเต็นท์]]/300000</f>
        <v>2</v>
      </c>
      <c r="AG97" s="1" cm="1">
        <f t="array" ref="AG97">_xlfn.LET(_xlpm.result,INDEX(ราคาค่าบำรุง!D:D, MATCH(TRIM($C97), TRIM(ราคาค่าบำรุง!$A:$A), 0)),IF(ISNUMBER(SEARCH("-", _xlpm.result)), 0, _xlpm.result))</f>
        <v>600000</v>
      </c>
      <c r="AH97" s="66">
        <f>group_data_final[[#This Row],[ค่าบำรุงจุดพักรถ]]/300000</f>
        <v>2</v>
      </c>
      <c r="AI97" s="1" cm="1">
        <f t="array" ref="AI97">_xlfn.LET(_xlpm.result,INDEX(ราคาค่าบำรุง!F:F, MATCH(TRIM($C97), TRIM(ราคาค่าบำรุง!$A:$A), 0)),IF(ISNUMBER(SEARCH("-", _xlpm.result)), 0, _xlpm.result))</f>
        <v>600000</v>
      </c>
      <c r="AJ97" s="66">
        <f>group_data_final[[#This Row],[ค่าบำรุงภูมิสถาปัตย์]]/300000</f>
        <v>2</v>
      </c>
      <c r="AK97" s="1" cm="1">
        <f t="array" ref="AK97">_xlfn.LET(_xlpm.result,INDEX(ราคาค่าบำรุง!H:H, MATCH(TRIM($C97), TRIM(ราคาค่าบำรุง!$A:$A), 0)),IF(ISNUMBER(SEARCH("-", _xlpm.result)), 0, _xlpm.result))</f>
        <v>600000</v>
      </c>
      <c r="AL97">
        <f t="shared" si="2"/>
        <v>0</v>
      </c>
      <c r="AM97">
        <f>_xlfn.XLOOKUP(group_data_final[[#This Row],[depot_code]],C:C,แผน68!D:D)</f>
        <v>16859979.280000001</v>
      </c>
      <c r="AN97">
        <v>2534.5</v>
      </c>
    </row>
    <row r="98" spans="1:40">
      <c r="A98" t="s">
        <v>129</v>
      </c>
      <c r="B98" t="s">
        <v>150</v>
      </c>
      <c r="C98" s="39">
        <v>638</v>
      </c>
      <c r="D98" cm="1">
        <f t="array" ref="D98">_xlfn.LET(_xlpm.result,INDEX(ระยะทาง!C:C, MATCH(TRIM(C98), TRIM(ระยะทาง!$A:$A), 0)),IF(ISNUMBER(SEARCH("-", _xlpm.result)), 0, _xlpm.result))</f>
        <v>762.71299999999997</v>
      </c>
      <c r="E98" cm="1">
        <f t="array" ref="E98">_xlfn.LET(_xlpm.result,INDEX(ระยะทาง!D:D, MATCH(TRIM($C98), TRIM(ระยะทาง!$A:$A), 0)),IF(ISNUMBER(SEARCH("-", _xlpm.result)), 0, _xlpm.result))</f>
        <v>3090196677</v>
      </c>
      <c r="F98">
        <v>381443214</v>
      </c>
      <c r="G98">
        <v>2.3562500000000002</v>
      </c>
      <c r="H98">
        <v>637.53499999999997</v>
      </c>
      <c r="I98">
        <v>1</v>
      </c>
      <c r="J98">
        <v>10</v>
      </c>
      <c r="K98">
        <v>3</v>
      </c>
      <c r="L98">
        <v>3.5</v>
      </c>
      <c r="M98">
        <v>5</v>
      </c>
      <c r="N98">
        <v>11.427</v>
      </c>
      <c r="O98">
        <v>2</v>
      </c>
      <c r="P98">
        <v>7</v>
      </c>
      <c r="Q98">
        <v>4</v>
      </c>
      <c r="R98">
        <v>3.5</v>
      </c>
      <c r="S98">
        <v>4</v>
      </c>
      <c r="T98">
        <v>0</v>
      </c>
      <c r="U98">
        <v>0</v>
      </c>
      <c r="V98">
        <v>150483.56</v>
      </c>
      <c r="W98">
        <v>6850.8</v>
      </c>
      <c r="X98">
        <v>25299.377</v>
      </c>
      <c r="Y98">
        <v>94874</v>
      </c>
      <c r="Z98">
        <v>135.08012082027363</v>
      </c>
      <c r="AA98">
        <v>14.745885924206439</v>
      </c>
      <c r="AB98">
        <v>-3.6500536346842742E-2</v>
      </c>
      <c r="AC98">
        <v>5.3259759071019062</v>
      </c>
      <c r="AD98">
        <f>D98*'ราคาต้นทุน (Asset)'!$E$1</f>
        <v>45762780</v>
      </c>
      <c r="AE98" s="1" cm="1">
        <f t="array" ref="AE98">_xlfn.LET(_xlpm.result,INDEX(ASSET!U:U, MATCH(TRIM($C98), TRIM(ASSET!$A:$A), 0)),IF(ISNUMBER(SEARCH("-", _xlpm.result)), 0, _xlpm.result))</f>
        <v>3064500</v>
      </c>
      <c r="AF98" s="66">
        <f>group_data_final[[#This Row],[ค่าบำรุงจุดกางเต็นท์]]/300000</f>
        <v>0</v>
      </c>
      <c r="AG98" s="1" cm="1">
        <f t="array" ref="AG98">_xlfn.LET(_xlpm.result,INDEX(ราคาค่าบำรุง!D:D, MATCH(TRIM($C98), TRIM(ราคาค่าบำรุง!$A:$A), 0)),IF(ISNUMBER(SEARCH("-", _xlpm.result)), 0, _xlpm.result))</f>
        <v>0</v>
      </c>
      <c r="AH98" s="66">
        <f>group_data_final[[#This Row],[ค่าบำรุงจุดพักรถ]]/300000</f>
        <v>0</v>
      </c>
      <c r="AI98" s="1" cm="1">
        <f t="array" ref="AI98">_xlfn.LET(_xlpm.result,INDEX(ราคาค่าบำรุง!F:F, MATCH(TRIM($C98), TRIM(ราคาค่าบำรุง!$A:$A), 0)),IF(ISNUMBER(SEARCH("-", _xlpm.result)), 0, _xlpm.result))</f>
        <v>0</v>
      </c>
      <c r="AJ98" s="66">
        <f>group_data_final[[#This Row],[ค่าบำรุงภูมิสถาปัตย์]]/300000</f>
        <v>1</v>
      </c>
      <c r="AK98" s="1" cm="1">
        <f t="array" ref="AK98">_xlfn.LET(_xlpm.result,INDEX(ราคาค่าบำรุง!H:H, MATCH(TRIM($C98), TRIM(ราคาค่าบำรุง!$A:$A), 0)),IF(ISNUMBER(SEARCH("-", _xlpm.result)), 0, _xlpm.result))</f>
        <v>300000</v>
      </c>
      <c r="AL98">
        <f t="shared" ref="AL98:AL105" si="3">IF(OR(COUNTIF(B98,"*กระบี่*"),COUNTIF(B98,"*จันทบุรี*"),COUNTIF(B98,"*ชุมพร*"),COUNTIF(B98,"*เชียงราย*"),COUNTIF(B98,"*ตรัง*"),COUNTIF(B98,"*นครนายก*"),COUNTIF(B98,"*ปราจีนบุรี*"),COUNTIF(B98,"*พัทลุง*"),COUNTIF(B98,"*ภูเก็ต*"),COUNTIF(B98,"*ยะลา*"),COUNTIF(B98,"*สกลนคร*"),COUNTIF(B98,"*สตูล*"),COUNTIF(B98,"*หนองคาย*"),COUNTIF(B98,"*สุราษฎร์ธานี*"),COUNTIF(B98,"*ปัตตานี*")),2,
IF(OR(COUNTIF(B98,"*ตราด*"),COUNTIF(B98,"*นครพนม*"),COUNTIF(B98,"*นครศรีธรรมราช*"),COUNTIF(B98,"*นราธิวาส*"),COUNTIF(B98,"*บึงกาฬ*"),COUNTIF(B98,"*พังงา*"),COUNTIF(B98,"*ระนอง*"),COUNTIF(B98,"*สงขลา*")),4,0))</f>
        <v>0</v>
      </c>
      <c r="AM98">
        <f>_xlfn.XLOOKUP(group_data_final[[#This Row],[depot_code]],C:C,แผน68!D:D)</f>
        <v>16130059</v>
      </c>
      <c r="AN98">
        <v>4812.3999999999996</v>
      </c>
    </row>
    <row r="99" spans="1:40">
      <c r="A99" t="s">
        <v>151</v>
      </c>
      <c r="B99" t="s">
        <v>152</v>
      </c>
      <c r="C99" s="39">
        <v>639</v>
      </c>
      <c r="D99" cm="1">
        <f t="array" ref="D99">_xlfn.LET(_xlpm.result,INDEX(ระยะทาง!C:C, MATCH(TRIM(C99), TRIM(ระยะทาง!$A:$A), 0)),IF(ISNUMBER(SEARCH("-", _xlpm.result)), 0, _xlpm.result))</f>
        <v>744.57500000000005</v>
      </c>
      <c r="E99" cm="1">
        <f t="array" ref="E99">_xlfn.LET(_xlpm.result,INDEX(ระยะทาง!D:D, MATCH(TRIM($C99), TRIM(ระยะทาง!$A:$A), 0)),IF(ISNUMBER(SEARCH("-", _xlpm.result)), 0, _xlpm.result))</f>
        <v>2222626584</v>
      </c>
      <c r="F99">
        <v>258602020</v>
      </c>
      <c r="G99">
        <v>2.7183333333333333</v>
      </c>
      <c r="H99">
        <v>352.839</v>
      </c>
      <c r="I99">
        <v>2</v>
      </c>
      <c r="J99">
        <v>6</v>
      </c>
      <c r="K99">
        <v>3.75</v>
      </c>
      <c r="L99">
        <v>3.55</v>
      </c>
      <c r="M99">
        <v>5</v>
      </c>
      <c r="N99">
        <v>5.21</v>
      </c>
      <c r="O99">
        <v>4</v>
      </c>
      <c r="P99">
        <v>4</v>
      </c>
      <c r="Q99">
        <v>4</v>
      </c>
      <c r="R99">
        <v>3.6043333333333334</v>
      </c>
      <c r="S99">
        <v>5.5166666666666666</v>
      </c>
      <c r="T99">
        <v>0</v>
      </c>
      <c r="U99">
        <v>30000</v>
      </c>
      <c r="V99">
        <v>100899.76999999997</v>
      </c>
      <c r="W99">
        <v>11507.2</v>
      </c>
      <c r="X99">
        <v>151166.71</v>
      </c>
      <c r="Y99">
        <v>104355.171</v>
      </c>
      <c r="Z99">
        <v>174.62141802867788</v>
      </c>
      <c r="AA99">
        <v>386.33017776499071</v>
      </c>
      <c r="AB99">
        <v>1.7410826789916813E-2</v>
      </c>
      <c r="AC99">
        <v>11.424861590155951</v>
      </c>
      <c r="AD99">
        <f>D99*'ราคาต้นทุน (Asset)'!$E$1</f>
        <v>44674500</v>
      </c>
      <c r="AE99" s="1" cm="1">
        <f t="array" ref="AE99">_xlfn.LET(_xlpm.result,INDEX(ASSET!U:U, MATCH(TRIM($C99), TRIM(ASSET!$A:$A), 0)),IF(ISNUMBER(SEARCH("-", _xlpm.result)), 0, _xlpm.result))</f>
        <v>3585500</v>
      </c>
      <c r="AF99" s="66">
        <f>group_data_final[[#This Row],[ค่าบำรุงจุดกางเต็นท์]]/300000</f>
        <v>0</v>
      </c>
      <c r="AG99" s="1" cm="1">
        <f t="array" ref="AG99">_xlfn.LET(_xlpm.result,INDEX(ราคาค่าบำรุง!D:D, MATCH(TRIM($C99), TRIM(ราคาค่าบำรุง!$A:$A), 0)),IF(ISNUMBER(SEARCH("-", _xlpm.result)), 0, _xlpm.result))</f>
        <v>0</v>
      </c>
      <c r="AH99" s="66">
        <f>group_data_final[[#This Row],[ค่าบำรุงจุดพักรถ]]/300000</f>
        <v>1</v>
      </c>
      <c r="AI99" s="1" cm="1">
        <f t="array" ref="AI99">_xlfn.LET(_xlpm.result,INDEX(ราคาค่าบำรุง!F:F, MATCH(TRIM($C99), TRIM(ราคาค่าบำรุง!$A:$A), 0)),IF(ISNUMBER(SEARCH("-", _xlpm.result)), 0, _xlpm.result))</f>
        <v>300000</v>
      </c>
      <c r="AJ99" s="66">
        <f>group_data_final[[#This Row],[ค่าบำรุงภูมิสถาปัตย์]]/300000</f>
        <v>2</v>
      </c>
      <c r="AK99" s="1" cm="1">
        <f t="array" ref="AK99">_xlfn.LET(_xlpm.result,INDEX(ราคาค่าบำรุง!H:H, MATCH(TRIM($C99), TRIM(ราคาค่าบำรุง!$A:$A), 0)),IF(ISNUMBER(SEARCH("-", _xlpm.result)), 0, _xlpm.result))</f>
        <v>600000</v>
      </c>
      <c r="AL99">
        <f t="shared" si="3"/>
        <v>0</v>
      </c>
      <c r="AM99">
        <f>_xlfn.XLOOKUP(group_data_final[[#This Row],[depot_code]],C:C,แผน68!D:D)</f>
        <v>17347616.379999999</v>
      </c>
      <c r="AN99">
        <v>9799</v>
      </c>
    </row>
    <row r="100" spans="1:40">
      <c r="A100" t="s">
        <v>151</v>
      </c>
      <c r="B100" t="s">
        <v>153</v>
      </c>
      <c r="C100" s="39">
        <v>641</v>
      </c>
      <c r="D100" cm="1">
        <f t="array" ref="D100">_xlfn.LET(_xlpm.result,INDEX(ระยะทาง!C:C, MATCH(TRIM(C100), TRIM(ระยะทาง!$A:$A), 0)),IF(ISNUMBER(SEARCH("-", _xlpm.result)), 0, _xlpm.result))</f>
        <v>753.79899999999998</v>
      </c>
      <c r="E100" cm="1">
        <f t="array" ref="E100">_xlfn.LET(_xlpm.result,INDEX(ระยะทาง!D:D, MATCH(TRIM($C100), TRIM(ระยะทาง!$A:$A), 0)),IF(ISNUMBER(SEARCH("-", _xlpm.result)), 0, _xlpm.result))</f>
        <v>4448240609</v>
      </c>
      <c r="F100">
        <v>295439718</v>
      </c>
      <c r="G100">
        <v>2.2980588235294119</v>
      </c>
      <c r="H100">
        <v>578.16999999999996</v>
      </c>
      <c r="I100">
        <v>1</v>
      </c>
      <c r="J100">
        <v>8</v>
      </c>
      <c r="K100">
        <v>3.1764705882352939</v>
      </c>
      <c r="L100">
        <v>3.669</v>
      </c>
      <c r="M100">
        <v>5</v>
      </c>
      <c r="N100">
        <v>39.282000000000004</v>
      </c>
      <c r="O100">
        <v>2</v>
      </c>
      <c r="P100">
        <v>6</v>
      </c>
      <c r="Q100">
        <v>4.625</v>
      </c>
      <c r="R100">
        <v>3.5</v>
      </c>
      <c r="S100">
        <v>4.3687500000000004</v>
      </c>
      <c r="T100">
        <v>7.4</v>
      </c>
      <c r="U100">
        <v>0</v>
      </c>
      <c r="V100">
        <v>144560.31700000001</v>
      </c>
      <c r="W100">
        <v>18959.299999999996</v>
      </c>
      <c r="X100">
        <v>119388.185</v>
      </c>
      <c r="Y100">
        <v>123139</v>
      </c>
      <c r="Z100">
        <v>206.72283210994729</v>
      </c>
      <c r="AA100">
        <v>810.05776605281744</v>
      </c>
      <c r="AB100">
        <v>1.12009835691086</v>
      </c>
      <c r="AC100">
        <v>35.607026617773684</v>
      </c>
      <c r="AD100">
        <f>D100*'ราคาต้นทุน (Asset)'!$E$1</f>
        <v>45227940</v>
      </c>
      <c r="AE100" s="1" cm="1">
        <f t="array" ref="AE100">_xlfn.LET(_xlpm.result,INDEX(ASSET!U:U, MATCH(TRIM($C100), TRIM(ASSET!$A:$A), 0)),IF(ISNUMBER(SEARCH("-", _xlpm.result)), 0, _xlpm.result))</f>
        <v>4600400</v>
      </c>
      <c r="AF100" s="66">
        <f>group_data_final[[#This Row],[ค่าบำรุงจุดกางเต็นท์]]/300000</f>
        <v>0</v>
      </c>
      <c r="AG100" s="1" cm="1">
        <f t="array" ref="AG100">_xlfn.LET(_xlpm.result,INDEX(ราคาค่าบำรุง!D:D, MATCH(TRIM($C100), TRIM(ราคาค่าบำรุง!$A:$A), 0)),IF(ISNUMBER(SEARCH("-", _xlpm.result)), 0, _xlpm.result))</f>
        <v>0</v>
      </c>
      <c r="AH100" s="66">
        <f>group_data_final[[#This Row],[ค่าบำรุงจุดพักรถ]]/300000</f>
        <v>0</v>
      </c>
      <c r="AI100" s="1" cm="1">
        <f t="array" ref="AI100">_xlfn.LET(_xlpm.result,INDEX(ราคาค่าบำรุง!F:F, MATCH(TRIM($C100), TRIM(ราคาค่าบำรุง!$A:$A), 0)),IF(ISNUMBER(SEARCH("-", _xlpm.result)), 0, _xlpm.result))</f>
        <v>0</v>
      </c>
      <c r="AJ100" s="66">
        <f>group_data_final[[#This Row],[ค่าบำรุงภูมิสถาปัตย์]]/300000</f>
        <v>0</v>
      </c>
      <c r="AK100" s="1" cm="1">
        <f t="array" ref="AK100">_xlfn.LET(_xlpm.result,INDEX(ราคาค่าบำรุง!H:H, MATCH(TRIM($C100), TRIM(ราคาค่าบำรุง!$A:$A), 0)),IF(ISNUMBER(SEARCH("-", _xlpm.result)), 0, _xlpm.result))</f>
        <v>0</v>
      </c>
      <c r="AL100">
        <f t="shared" si="3"/>
        <v>2</v>
      </c>
      <c r="AM100">
        <f>_xlfn.XLOOKUP(group_data_final[[#This Row],[depot_code]],C:C,แผน68!D:D)</f>
        <v>61274963.369999997</v>
      </c>
      <c r="AN100">
        <v>5111</v>
      </c>
    </row>
    <row r="101" spans="1:40">
      <c r="A101" t="s">
        <v>151</v>
      </c>
      <c r="B101" t="s">
        <v>154</v>
      </c>
      <c r="C101" s="39">
        <v>642</v>
      </c>
      <c r="D101" cm="1">
        <f t="array" ref="D101">_xlfn.LET(_xlpm.result,INDEX(ระยะทาง!C:C, MATCH(TRIM(C101), TRIM(ระยะทาง!$A:$A), 0)),IF(ISNUMBER(SEARCH("-", _xlpm.result)), 0, _xlpm.result))</f>
        <v>660.03599999999994</v>
      </c>
      <c r="E101" cm="1">
        <f t="array" ref="E101">_xlfn.LET(_xlpm.result,INDEX(ระยะทาง!D:D, MATCH(TRIM($C101), TRIM(ระยะทาง!$A:$A), 0)),IF(ISNUMBER(SEARCH("-", _xlpm.result)), 0, _xlpm.result))</f>
        <v>1761068728</v>
      </c>
      <c r="F101">
        <v>556548200</v>
      </c>
      <c r="G101">
        <v>2.2333333333333334</v>
      </c>
      <c r="H101">
        <v>345.81400000000002</v>
      </c>
      <c r="I101">
        <v>2</v>
      </c>
      <c r="J101">
        <v>10</v>
      </c>
      <c r="K101">
        <v>3.2222222222222223</v>
      </c>
      <c r="L101">
        <v>3.5</v>
      </c>
      <c r="M101">
        <v>5</v>
      </c>
      <c r="N101">
        <v>7.9329999999999998</v>
      </c>
      <c r="O101">
        <v>4</v>
      </c>
      <c r="P101">
        <v>6</v>
      </c>
      <c r="Q101">
        <v>5</v>
      </c>
      <c r="R101">
        <v>3.5</v>
      </c>
      <c r="S101">
        <v>5</v>
      </c>
      <c r="T101">
        <v>0</v>
      </c>
      <c r="U101">
        <v>0</v>
      </c>
      <c r="V101">
        <v>139327.28</v>
      </c>
      <c r="W101">
        <v>41495.910000000003</v>
      </c>
      <c r="X101">
        <v>163119.00099999999</v>
      </c>
      <c r="Y101">
        <v>105389</v>
      </c>
      <c r="Z101">
        <v>170.17168605389145</v>
      </c>
      <c r="AA101">
        <v>80.740678392189267</v>
      </c>
      <c r="AB101">
        <v>-4.457701568732992E-2</v>
      </c>
      <c r="AC101">
        <v>7.3177689987011343</v>
      </c>
      <c r="AD101">
        <f>D101*'ราคาต้นทุน (Asset)'!$E$1</f>
        <v>39602160</v>
      </c>
      <c r="AE101" s="1" cm="1">
        <f t="array" ref="AE101">_xlfn.LET(_xlpm.result,INDEX(ASSET!U:U, MATCH(TRIM($C101), TRIM(ASSET!$A:$A), 0)),IF(ISNUMBER(SEARCH("-", _xlpm.result)), 0, _xlpm.result))</f>
        <v>2672900</v>
      </c>
      <c r="AF101" s="66">
        <f>group_data_final[[#This Row],[ค่าบำรุงจุดกางเต็นท์]]/300000</f>
        <v>2</v>
      </c>
      <c r="AG101" s="1" cm="1">
        <f t="array" ref="AG101">_xlfn.LET(_xlpm.result,INDEX(ราคาค่าบำรุง!D:D, MATCH(TRIM($C101), TRIM(ราคาค่าบำรุง!$A:$A), 0)),IF(ISNUMBER(SEARCH("-", _xlpm.result)), 0, _xlpm.result))</f>
        <v>600000</v>
      </c>
      <c r="AH101" s="66">
        <f>group_data_final[[#This Row],[ค่าบำรุงจุดพักรถ]]/300000</f>
        <v>2</v>
      </c>
      <c r="AI101" s="1" cm="1">
        <f t="array" ref="AI101">_xlfn.LET(_xlpm.result,INDEX(ราคาค่าบำรุง!F:F, MATCH(TRIM($C101), TRIM(ราคาค่าบำรุง!$A:$A), 0)),IF(ISNUMBER(SEARCH("-", _xlpm.result)), 0, _xlpm.result))</f>
        <v>600000</v>
      </c>
      <c r="AJ101" s="66">
        <f>group_data_final[[#This Row],[ค่าบำรุงภูมิสถาปัตย์]]/300000</f>
        <v>1</v>
      </c>
      <c r="AK101" s="1" cm="1">
        <f t="array" ref="AK101">_xlfn.LET(_xlpm.result,INDEX(ราคาค่าบำรุง!H:H, MATCH(TRIM($C101), TRIM(ราคาค่าบำรุง!$A:$A), 0)),IF(ISNUMBER(SEARCH("-", _xlpm.result)), 0, _xlpm.result))</f>
        <v>300000</v>
      </c>
      <c r="AL101">
        <f t="shared" si="3"/>
        <v>2</v>
      </c>
      <c r="AM101">
        <f>_xlfn.XLOOKUP(group_data_final[[#This Row],[depot_code]],C:C,แผน68!D:D)</f>
        <v>24252916.210000001</v>
      </c>
      <c r="AN101">
        <v>5579</v>
      </c>
    </row>
    <row r="102" spans="1:40">
      <c r="A102" t="s">
        <v>151</v>
      </c>
      <c r="B102" s="34" t="s">
        <v>155</v>
      </c>
      <c r="C102" s="39">
        <v>643</v>
      </c>
      <c r="D102" cm="1">
        <f t="array" ref="D102">_xlfn.LET(_xlpm.result,INDEX(ระยะทาง!C:C, MATCH(TRIM(C102), TRIM(ระยะทาง!$A:$A), 0)),IF(ISNUMBER(SEARCH("-", _xlpm.result)), 0, _xlpm.result))</f>
        <v>649.12</v>
      </c>
      <c r="E102" cm="1">
        <f t="array" ref="E102">_xlfn.LET(_xlpm.result,INDEX(ระยะทาง!D:D, MATCH(TRIM($C102), TRIM(ระยะทาง!$A:$A), 0)),IF(ISNUMBER(SEARCH("-", _xlpm.result)), 0, _xlpm.result))</f>
        <v>4921738526</v>
      </c>
      <c r="F102">
        <v>82925588</v>
      </c>
      <c r="G102">
        <v>2.3902727272727273</v>
      </c>
      <c r="H102">
        <v>512.04500000000007</v>
      </c>
      <c r="I102">
        <v>2</v>
      </c>
      <c r="J102">
        <v>8</v>
      </c>
      <c r="K102">
        <v>2.8181818181818183</v>
      </c>
      <c r="L102">
        <v>3.5</v>
      </c>
      <c r="M102">
        <v>3.6659999999999999</v>
      </c>
      <c r="N102">
        <v>7.09</v>
      </c>
      <c r="O102">
        <v>4</v>
      </c>
      <c r="P102">
        <v>6</v>
      </c>
      <c r="Q102">
        <v>4.666666666666667</v>
      </c>
      <c r="T102">
        <v>23800</v>
      </c>
      <c r="U102">
        <v>0</v>
      </c>
      <c r="V102">
        <v>169098.85</v>
      </c>
      <c r="W102">
        <v>25666.1</v>
      </c>
      <c r="X102">
        <v>105975.74500000001</v>
      </c>
      <c r="Y102">
        <v>79809.293999999994</v>
      </c>
      <c r="Z102">
        <v>161.15319605352951</v>
      </c>
      <c r="AA102">
        <v>39.921398828902284</v>
      </c>
      <c r="AB102">
        <v>6.7564645078253799E-2</v>
      </c>
      <c r="AC102">
        <v>9.399464234846624</v>
      </c>
      <c r="AD102">
        <f>D102*'ราคาต้นทุน (Asset)'!$E$1</f>
        <v>38947200</v>
      </c>
      <c r="AE102" s="1" cm="1">
        <f t="array" ref="AE102">_xlfn.LET(_xlpm.result,INDEX(ASSET!U:U, MATCH(TRIM($C102), TRIM(ASSET!$A:$A), 0)),IF(ISNUMBER(SEARCH("-", _xlpm.result)), 0, _xlpm.result))</f>
        <v>2788800</v>
      </c>
      <c r="AF102" s="66">
        <f>group_data_final[[#This Row],[ค่าบำรุงจุดกางเต็นท์]]/300000</f>
        <v>0</v>
      </c>
      <c r="AG102" s="1" cm="1">
        <f t="array" ref="AG102">_xlfn.LET(_xlpm.result,INDEX(ราคาค่าบำรุง!D:D, MATCH(TRIM($C102), TRIM(ราคาค่าบำรุง!$A:$A), 0)),IF(ISNUMBER(SEARCH("-", _xlpm.result)), 0, _xlpm.result))</f>
        <v>0</v>
      </c>
      <c r="AH102" s="66">
        <f>group_data_final[[#This Row],[ค่าบำรุงจุดพักรถ]]/300000</f>
        <v>0</v>
      </c>
      <c r="AI102" s="1" cm="1">
        <f t="array" ref="AI102">_xlfn.LET(_xlpm.result,INDEX(ราคาค่าบำรุง!F:F, MATCH(TRIM($C102), TRIM(ราคาค่าบำรุง!$A:$A), 0)),IF(ISNUMBER(SEARCH("-", _xlpm.result)), 0, _xlpm.result))</f>
        <v>0</v>
      </c>
      <c r="AJ102" s="66">
        <f>group_data_final[[#This Row],[ค่าบำรุงภูมิสถาปัตย์]]/300000</f>
        <v>1</v>
      </c>
      <c r="AK102" s="1" cm="1">
        <f t="array" ref="AK102">_xlfn.LET(_xlpm.result,INDEX(ราคาค่าบำรุง!H:H, MATCH(TRIM($C102), TRIM(ราคาค่าบำรุง!$A:$A), 0)),IF(ISNUMBER(SEARCH("-", _xlpm.result)), 0, _xlpm.result))</f>
        <v>300000</v>
      </c>
      <c r="AL102">
        <f t="shared" si="3"/>
        <v>4</v>
      </c>
      <c r="AM102">
        <f>_xlfn.XLOOKUP(group_data_final[[#This Row],[depot_code]],C:C,แผน68!D:D)</f>
        <v>11182835</v>
      </c>
      <c r="AN102">
        <v>4746</v>
      </c>
    </row>
    <row r="103" spans="1:40">
      <c r="A103" t="s">
        <v>151</v>
      </c>
      <c r="B103" s="35" t="s">
        <v>156</v>
      </c>
      <c r="C103" s="39">
        <v>644</v>
      </c>
      <c r="D103" cm="1">
        <f t="array" ref="D103">_xlfn.LET(_xlpm.result,INDEX(ระยะทาง!C:C, MATCH(TRIM(C103), TRIM(ระยะทาง!$A:$A), 0)),IF(ISNUMBER(SEARCH("-", _xlpm.result)), 0, _xlpm.result))</f>
        <v>838.32600000000002</v>
      </c>
      <c r="E103" cm="1">
        <f t="array" ref="E103">_xlfn.LET(_xlpm.result,INDEX(ระยะทาง!D:D, MATCH(TRIM($C103), TRIM(ระยะทาง!$A:$A), 0)),IF(ISNUMBER(SEARCH("-", _xlpm.result)), 0, _xlpm.result))</f>
        <v>6249320011</v>
      </c>
      <c r="F103">
        <v>450139675</v>
      </c>
      <c r="G103">
        <v>2.1638000000000002</v>
      </c>
      <c r="H103">
        <v>311.26100000000002</v>
      </c>
      <c r="I103">
        <v>2</v>
      </c>
      <c r="J103">
        <v>10</v>
      </c>
      <c r="K103">
        <v>3.5</v>
      </c>
      <c r="L103">
        <v>3.5</v>
      </c>
      <c r="M103">
        <v>5</v>
      </c>
      <c r="N103">
        <v>13.483000000000001</v>
      </c>
      <c r="O103">
        <v>4</v>
      </c>
      <c r="P103">
        <v>6</v>
      </c>
      <c r="Q103">
        <v>4.5999999999999996</v>
      </c>
      <c r="R103">
        <v>3.35</v>
      </c>
      <c r="S103">
        <v>4.2</v>
      </c>
      <c r="T103">
        <v>0</v>
      </c>
      <c r="U103">
        <v>0</v>
      </c>
      <c r="V103">
        <v>96220.932000000001</v>
      </c>
      <c r="W103">
        <v>8319.2999999999993</v>
      </c>
      <c r="X103">
        <v>70797.934999999998</v>
      </c>
      <c r="Y103">
        <v>153609</v>
      </c>
      <c r="Z103">
        <v>154.5481464191441</v>
      </c>
      <c r="AA103">
        <v>57.386448407032503</v>
      </c>
      <c r="AB103">
        <v>7.2380444165901184E-2</v>
      </c>
      <c r="AC103">
        <v>7.3805021756605784</v>
      </c>
      <c r="AD103">
        <f>D103*'ราคาต้นทุน (Asset)'!$E$1</f>
        <v>50299560</v>
      </c>
      <c r="AE103" s="1" cm="1">
        <f t="array" ref="AE103">_xlfn.LET(_xlpm.result,INDEX(ASSET!U:U, MATCH(TRIM($C103), TRIM(ASSET!$A:$A), 0)),IF(ISNUMBER(SEARCH("-", _xlpm.result)), 0, _xlpm.result))</f>
        <v>4010800</v>
      </c>
      <c r="AF103" s="66">
        <f>group_data_final[[#This Row],[ค่าบำรุงจุดกางเต็นท์]]/300000</f>
        <v>0</v>
      </c>
      <c r="AG103" s="1" cm="1">
        <f t="array" ref="AG103">_xlfn.LET(_xlpm.result,INDEX(ราคาค่าบำรุง!D:D, MATCH(TRIM($C103), TRIM(ราคาค่าบำรุง!$A:$A), 0)),IF(ISNUMBER(SEARCH("-", _xlpm.result)), 0, _xlpm.result))</f>
        <v>0</v>
      </c>
      <c r="AH103" s="66">
        <f>group_data_final[[#This Row],[ค่าบำรุงจุดพักรถ]]/300000</f>
        <v>0</v>
      </c>
      <c r="AI103" s="1" cm="1">
        <f t="array" ref="AI103">_xlfn.LET(_xlpm.result,INDEX(ราคาค่าบำรุง!F:F, MATCH(TRIM($C103), TRIM(ราคาค่าบำรุง!$A:$A), 0)),IF(ISNUMBER(SEARCH("-", _xlpm.result)), 0, _xlpm.result))</f>
        <v>0</v>
      </c>
      <c r="AJ103" s="66">
        <f>group_data_final[[#This Row],[ค่าบำรุงภูมิสถาปัตย์]]/300000</f>
        <v>2</v>
      </c>
      <c r="AK103" s="1" cm="1">
        <f t="array" ref="AK103">_xlfn.LET(_xlpm.result,INDEX(ราคาค่าบำรุง!H:H, MATCH(TRIM($C103), TRIM(ราคาค่าบำรุง!$A:$A), 0)),IF(ISNUMBER(SEARCH("-", _xlpm.result)), 0, _xlpm.result))</f>
        <v>600000</v>
      </c>
      <c r="AL103">
        <f t="shared" si="3"/>
        <v>4</v>
      </c>
      <c r="AM103">
        <f>_xlfn.XLOOKUP(group_data_final[[#This Row],[depot_code]],C:C,แผน68!D:D)</f>
        <v>15897455.4</v>
      </c>
      <c r="AN103">
        <v>5868</v>
      </c>
    </row>
    <row r="104" spans="1:40">
      <c r="A104" t="s">
        <v>151</v>
      </c>
      <c r="B104" s="34" t="s">
        <v>157</v>
      </c>
      <c r="C104" s="39">
        <v>646</v>
      </c>
      <c r="D104" cm="1">
        <f t="array" ref="D104">_xlfn.LET(_xlpm.result,INDEX(ระยะทาง!C:C, MATCH(TRIM(C104), TRIM(ระยะทาง!$A:$A), 0)),IF(ISNUMBER(SEARCH("-", _xlpm.result)), 0, _xlpm.result))</f>
        <v>678.7</v>
      </c>
      <c r="E104" cm="1">
        <f t="array" ref="E104">_xlfn.LET(_xlpm.result,INDEX(ระยะทาง!D:D, MATCH(TRIM($C104), TRIM(ระยะทาง!$A:$A), 0)),IF(ISNUMBER(SEARCH("-", _xlpm.result)), 0, _xlpm.result))</f>
        <v>1698831960</v>
      </c>
      <c r="F104">
        <v>883420751</v>
      </c>
      <c r="G104" s="31">
        <v>2.4670624999999999</v>
      </c>
      <c r="H104" s="37">
        <v>572.71900000000005</v>
      </c>
      <c r="I104" s="31">
        <v>2</v>
      </c>
      <c r="J104" s="31">
        <v>8</v>
      </c>
      <c r="K104" s="31">
        <v>3.625</v>
      </c>
      <c r="L104" s="31">
        <v>4.5289999999999999</v>
      </c>
      <c r="M104" s="31">
        <v>5.0780000000000003</v>
      </c>
      <c r="N104" s="31">
        <v>19.274999999999999</v>
      </c>
      <c r="O104" s="31">
        <v>2</v>
      </c>
      <c r="P104" s="31">
        <v>8</v>
      </c>
      <c r="Q104" s="31">
        <v>4.8888888888888893</v>
      </c>
      <c r="R104" s="31">
        <v>3.5</v>
      </c>
      <c r="S104" s="31">
        <v>5</v>
      </c>
      <c r="T104" s="31">
        <v>61829</v>
      </c>
      <c r="U104" s="31">
        <v>0</v>
      </c>
      <c r="V104" s="31">
        <v>96605.471250000002</v>
      </c>
      <c r="W104" s="31">
        <v>17547.2</v>
      </c>
      <c r="X104" s="31">
        <v>112923.00600000004</v>
      </c>
      <c r="Y104" s="31">
        <v>190960</v>
      </c>
      <c r="Z104" s="31">
        <v>172.35405741450256</v>
      </c>
      <c r="AA104" s="31">
        <v>33.808679544620801</v>
      </c>
      <c r="AB104" s="31">
        <v>-6.4261710553589085E-4</v>
      </c>
      <c r="AC104" s="31">
        <v>13.002596098813573</v>
      </c>
      <c r="AD104">
        <f>D104*'ราคาต้นทุน (Asset)'!$E$1</f>
        <v>40722000</v>
      </c>
      <c r="AE104" s="1" cm="1">
        <f t="array" ref="AE104">_xlfn.LET(_xlpm.result,INDEX(ASSET!U:U, MATCH(TRIM($C104), TRIM(ASSET!$A:$A), 0)),IF(ISNUMBER(SEARCH("-", _xlpm.result)), 0, _xlpm.result))</f>
        <v>3594600</v>
      </c>
      <c r="AF104" s="66">
        <f>group_data_final[[#This Row],[ค่าบำรุงจุดกางเต็นท์]]/300000</f>
        <v>1</v>
      </c>
      <c r="AG104" s="1" cm="1">
        <f t="array" ref="AG104">_xlfn.LET(_xlpm.result,INDEX(ราคาค่าบำรุง!D:D, MATCH(TRIM($C104), TRIM(ราคาค่าบำรุง!$A:$A), 0)),IF(ISNUMBER(SEARCH("-", _xlpm.result)), 0, _xlpm.result))</f>
        <v>300000</v>
      </c>
      <c r="AH104" s="66">
        <f>group_data_final[[#This Row],[ค่าบำรุงจุดพักรถ]]/300000</f>
        <v>0</v>
      </c>
      <c r="AI104" s="1" cm="1">
        <f t="array" ref="AI104">_xlfn.LET(_xlpm.result,INDEX(ราคาค่าบำรุง!F:F, MATCH(TRIM($C104), TRIM(ราคาค่าบำรุง!$A:$A), 0)),IF(ISNUMBER(SEARCH("-", _xlpm.result)), 0, _xlpm.result))</f>
        <v>0</v>
      </c>
      <c r="AJ104" s="66">
        <f>group_data_final[[#This Row],[ค่าบำรุงภูมิสถาปัตย์]]/300000</f>
        <v>0</v>
      </c>
      <c r="AK104" s="1" cm="1">
        <f t="array" ref="AK104">_xlfn.LET(_xlpm.result,INDEX(ราคาค่าบำรุง!H:H, MATCH(TRIM($C104), TRIM(ราคาค่าบำรุง!$A:$A), 0)),IF(ISNUMBER(SEARCH("-", _xlpm.result)), 0, _xlpm.result))</f>
        <v>0</v>
      </c>
      <c r="AL104">
        <f t="shared" si="3"/>
        <v>2</v>
      </c>
      <c r="AM104">
        <f>_xlfn.XLOOKUP(group_data_final[[#This Row],[depot_code]],C:C,แผน68!D:D)</f>
        <v>9945873</v>
      </c>
      <c r="AN104">
        <v>3575.9</v>
      </c>
    </row>
    <row r="105" spans="1:40">
      <c r="A105" t="s">
        <v>136</v>
      </c>
      <c r="B105" s="36" t="s">
        <v>158</v>
      </c>
      <c r="C105" s="39">
        <v>647</v>
      </c>
      <c r="D105" cm="1">
        <f t="array" ref="D105">_xlfn.LET(_xlpm.result,INDEX(ระยะทาง!C:C, MATCH(TRIM(C105), TRIM(ระยะทาง!$A:$A), 0)),IF(ISNUMBER(SEARCH("-", _xlpm.result)), 0, _xlpm.result))</f>
        <v>945.15800000000002</v>
      </c>
      <c r="E105" cm="1">
        <f t="array" ref="E105">_xlfn.LET(_xlpm.result,INDEX(ระยะทาง!D:D, MATCH(TRIM($C105), TRIM(ระยะทาง!$A:$A), 0)),IF(ISNUMBER(SEARCH("-", _xlpm.result)), 0, _xlpm.result))</f>
        <v>2623101690</v>
      </c>
      <c r="F105">
        <v>157654142</v>
      </c>
      <c r="G105" s="31">
        <v>2.3661363636363637</v>
      </c>
      <c r="H105" s="37">
        <v>700.18799999999999</v>
      </c>
      <c r="I105" s="31">
        <v>2</v>
      </c>
      <c r="J105" s="31">
        <v>8</v>
      </c>
      <c r="K105" s="31">
        <v>3.6363636363636362</v>
      </c>
      <c r="L105" s="31">
        <v>3.5</v>
      </c>
      <c r="M105" s="31">
        <v>8</v>
      </c>
      <c r="N105" s="31">
        <v>6.7270000000000003</v>
      </c>
      <c r="O105" s="31">
        <v>4</v>
      </c>
      <c r="P105" s="31">
        <v>6</v>
      </c>
      <c r="Q105" s="31">
        <v>5.166666666666667</v>
      </c>
      <c r="R105" s="31">
        <v>3.5</v>
      </c>
      <c r="S105" s="31">
        <v>5</v>
      </c>
      <c r="T105" s="31">
        <v>0</v>
      </c>
      <c r="U105" s="31">
        <v>0</v>
      </c>
      <c r="V105" s="31">
        <v>173977.03660000002</v>
      </c>
      <c r="W105" s="31">
        <v>158165.5</v>
      </c>
      <c r="X105" s="31">
        <v>98765.208000000013</v>
      </c>
      <c r="Y105" s="31">
        <v>12550</v>
      </c>
      <c r="Z105" s="31">
        <v>175.12181307441688</v>
      </c>
      <c r="AA105" s="31">
        <v>77.166004287364075</v>
      </c>
      <c r="AB105" s="31">
        <v>6.7111750108615448E-2</v>
      </c>
      <c r="AC105" s="31">
        <v>10.700707442162159</v>
      </c>
      <c r="AD105">
        <f>D105*'ราคาต้นทุน (Asset)'!$E$1</f>
        <v>56709480</v>
      </c>
      <c r="AE105" s="1" cm="1">
        <f t="array" ref="AE105">_xlfn.LET(_xlpm.result,INDEX(ASSET!U:U, MATCH(TRIM($C105), TRIM(ASSET!$A:$A), 0)),IF(ISNUMBER(SEARCH("-", _xlpm.result)), 0, _xlpm.result))</f>
        <v>4089200</v>
      </c>
      <c r="AF105" s="66">
        <f>group_data_final[[#This Row],[ค่าบำรุงจุดกางเต็นท์]]/300000</f>
        <v>0</v>
      </c>
      <c r="AG105" s="1" cm="1">
        <f t="array" ref="AG105">_xlfn.LET(_xlpm.result,INDEX(ราคาค่าบำรุง!D:D, MATCH(TRIM($C105), TRIM(ราคาค่าบำรุง!$A:$A), 0)),IF(ISNUMBER(SEARCH("-", _xlpm.result)), 0, _xlpm.result))</f>
        <v>0</v>
      </c>
      <c r="AH105" s="66">
        <f>group_data_final[[#This Row],[ค่าบำรุงจุดพักรถ]]/300000</f>
        <v>0</v>
      </c>
      <c r="AI105" s="1" cm="1">
        <f t="array" ref="AI105">_xlfn.LET(_xlpm.result,INDEX(ราคาค่าบำรุง!F:F, MATCH(TRIM($C105), TRIM(ราคาค่าบำรุง!$A:$A), 0)),IF(ISNUMBER(SEARCH("-", _xlpm.result)), 0, _xlpm.result))</f>
        <v>0</v>
      </c>
      <c r="AJ105" s="66">
        <f>group_data_final[[#This Row],[ค่าบำรุงภูมิสถาปัตย์]]/300000</f>
        <v>0</v>
      </c>
      <c r="AK105" s="1" cm="1">
        <f t="array" ref="AK105">_xlfn.LET(_xlpm.result,INDEX(ราคาค่าบำรุง!H:H, MATCH(TRIM($C105), TRIM(ราคาค่าบำรุง!$A:$A), 0)),IF(ISNUMBER(SEARCH("-", _xlpm.result)), 0, _xlpm.result))</f>
        <v>0</v>
      </c>
      <c r="AL105">
        <f t="shared" si="3"/>
        <v>0</v>
      </c>
      <c r="AM105">
        <f>_xlfn.XLOOKUP(group_data_final[[#This Row],[depot_code]],C:C,แผน68!D:D)</f>
        <v>5580390.4299999997</v>
      </c>
      <c r="AN105">
        <v>10544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9D0C-0769-4096-9215-CC1C136CD234}">
  <dimension ref="A1:U107"/>
  <sheetViews>
    <sheetView workbookViewId="0">
      <selection activeCell="F6" sqref="F6"/>
    </sheetView>
  </sheetViews>
  <sheetFormatPr defaultRowHeight="15"/>
  <cols>
    <col min="1" max="1" width="4.42578125" bestFit="1" customWidth="1"/>
    <col min="2" max="2" width="56.85546875" bestFit="1" customWidth="1"/>
    <col min="3" max="3" width="8.42578125" bestFit="1" customWidth="1"/>
    <col min="4" max="4" width="16.42578125" bestFit="1" customWidth="1"/>
    <col min="5" max="5" width="8.42578125" bestFit="1" customWidth="1"/>
    <col min="6" max="6" width="16.42578125" bestFit="1" customWidth="1"/>
    <col min="7" max="7" width="6.85546875" bestFit="1" customWidth="1"/>
    <col min="8" max="8" width="16.42578125" bestFit="1" customWidth="1"/>
    <col min="9" max="9" width="6.85546875" bestFit="1" customWidth="1"/>
    <col min="10" max="10" width="16.42578125" bestFit="1" customWidth="1"/>
    <col min="11" max="11" width="6.85546875" bestFit="1" customWidth="1"/>
    <col min="12" max="12" width="16.42578125" bestFit="1" customWidth="1"/>
    <col min="13" max="13" width="6.85546875" bestFit="1" customWidth="1"/>
    <col min="14" max="14" width="16.42578125" bestFit="1" customWidth="1"/>
    <col min="15" max="15" width="7.28515625" bestFit="1" customWidth="1"/>
    <col min="16" max="16" width="16.42578125" bestFit="1" customWidth="1"/>
    <col min="17" max="17" width="8.42578125" bestFit="1" customWidth="1"/>
    <col min="18" max="18" width="16.42578125" bestFit="1" customWidth="1"/>
    <col min="19" max="19" width="7.28515625" bestFit="1" customWidth="1"/>
    <col min="20" max="20" width="16.42578125" bestFit="1" customWidth="1"/>
    <col min="21" max="21" width="12.42578125" bestFit="1" customWidth="1"/>
  </cols>
  <sheetData>
    <row r="1" spans="1:21" ht="24">
      <c r="A1" s="2" t="s">
        <v>159</v>
      </c>
      <c r="B1" s="2" t="s">
        <v>160</v>
      </c>
      <c r="C1" s="3" t="s">
        <v>463</v>
      </c>
      <c r="D1" s="3"/>
      <c r="E1" s="3" t="s">
        <v>464</v>
      </c>
      <c r="F1" s="3"/>
      <c r="G1" s="3" t="s">
        <v>465</v>
      </c>
      <c r="H1" s="3"/>
      <c r="I1" s="3" t="s">
        <v>466</v>
      </c>
      <c r="J1" s="3"/>
      <c r="K1" s="3" t="s">
        <v>467</v>
      </c>
      <c r="L1" s="3"/>
      <c r="M1" s="3" t="s">
        <v>468</v>
      </c>
      <c r="N1" s="3"/>
      <c r="O1" s="3" t="s">
        <v>469</v>
      </c>
      <c r="P1" s="3"/>
      <c r="Q1" s="3" t="s">
        <v>470</v>
      </c>
      <c r="R1" s="3"/>
      <c r="S1" s="3" t="s">
        <v>471</v>
      </c>
      <c r="T1" s="3"/>
      <c r="U1" s="4" t="s">
        <v>295</v>
      </c>
    </row>
    <row r="2" spans="1:21" ht="24">
      <c r="A2" s="5"/>
      <c r="B2" s="5"/>
      <c r="C2" s="6" t="s">
        <v>472</v>
      </c>
      <c r="D2" s="6" t="s">
        <v>473</v>
      </c>
      <c r="E2" s="6" t="s">
        <v>472</v>
      </c>
      <c r="F2" s="6" t="s">
        <v>473</v>
      </c>
      <c r="G2" s="6" t="s">
        <v>472</v>
      </c>
      <c r="H2" s="6" t="s">
        <v>473</v>
      </c>
      <c r="I2" s="6" t="s">
        <v>472</v>
      </c>
      <c r="J2" s="6" t="s">
        <v>473</v>
      </c>
      <c r="K2" s="6" t="s">
        <v>472</v>
      </c>
      <c r="L2" s="6" t="s">
        <v>473</v>
      </c>
      <c r="M2" s="6" t="s">
        <v>472</v>
      </c>
      <c r="N2" s="6" t="s">
        <v>473</v>
      </c>
      <c r="O2" s="6" t="s">
        <v>472</v>
      </c>
      <c r="P2" s="6" t="s">
        <v>473</v>
      </c>
      <c r="Q2" s="6" t="s">
        <v>472</v>
      </c>
      <c r="R2" s="6" t="s">
        <v>473</v>
      </c>
      <c r="S2" s="6" t="s">
        <v>472</v>
      </c>
      <c r="T2" s="6" t="s">
        <v>473</v>
      </c>
      <c r="U2" s="7" t="s">
        <v>474</v>
      </c>
    </row>
    <row r="3" spans="1:21" ht="24">
      <c r="A3" s="2" t="s">
        <v>159</v>
      </c>
      <c r="B3" s="8" t="s">
        <v>295</v>
      </c>
      <c r="C3" s="9">
        <f t="shared" ref="C3:U3" si="0">SUM(C4:C107)</f>
        <v>113606</v>
      </c>
      <c r="D3" s="9">
        <f t="shared" si="0"/>
        <v>56803000</v>
      </c>
      <c r="E3" s="9">
        <f t="shared" si="0"/>
        <v>195858</v>
      </c>
      <c r="F3" s="9">
        <f t="shared" si="0"/>
        <v>39171600</v>
      </c>
      <c r="G3" s="9">
        <f t="shared" si="0"/>
        <v>4515</v>
      </c>
      <c r="H3" s="9">
        <f t="shared" si="0"/>
        <v>2257500</v>
      </c>
      <c r="I3" s="9">
        <f t="shared" si="0"/>
        <v>2294</v>
      </c>
      <c r="J3" s="9">
        <f t="shared" si="0"/>
        <v>11470000</v>
      </c>
      <c r="K3" s="9">
        <f t="shared" si="0"/>
        <v>2511</v>
      </c>
      <c r="L3" s="9">
        <f t="shared" si="0"/>
        <v>100440000</v>
      </c>
      <c r="M3" s="9">
        <f t="shared" si="0"/>
        <v>35</v>
      </c>
      <c r="N3" s="9">
        <f t="shared" si="0"/>
        <v>17500</v>
      </c>
      <c r="O3" s="9">
        <f t="shared" si="0"/>
        <v>19099</v>
      </c>
      <c r="P3" s="9">
        <f t="shared" si="0"/>
        <v>9549500</v>
      </c>
      <c r="Q3" s="9">
        <f t="shared" si="0"/>
        <v>961806</v>
      </c>
      <c r="R3" s="9">
        <f t="shared" si="0"/>
        <v>96180600</v>
      </c>
      <c r="S3" s="9">
        <f t="shared" si="0"/>
        <v>21684</v>
      </c>
      <c r="T3" s="9">
        <f t="shared" si="0"/>
        <v>65052000</v>
      </c>
      <c r="U3" s="10">
        <f t="shared" si="0"/>
        <v>380941700</v>
      </c>
    </row>
    <row r="4" spans="1:21" ht="24">
      <c r="A4" s="11">
        <v>311</v>
      </c>
      <c r="B4" s="12" t="s">
        <v>214</v>
      </c>
      <c r="C4" s="14">
        <v>774</v>
      </c>
      <c r="D4" s="13">
        <f>IF(TRIM(C4)="-", "-", C4*'ราคาต้นทุน (Asset)'!$B$8)</f>
        <v>387000</v>
      </c>
      <c r="E4" s="13">
        <v>2079</v>
      </c>
      <c r="F4" s="13">
        <f>IF(TRIM(E4)="-", "-", E4*'ราคาต้นทุน (Asset)'!$B$9)</f>
        <v>415800</v>
      </c>
      <c r="G4" s="14">
        <v>20</v>
      </c>
      <c r="H4" s="13">
        <f>IF(TRIM(G4)="-", "-", G4*'ราคาต้นทุน (Asset)'!$B$11)</f>
        <v>10000</v>
      </c>
      <c r="I4" s="14">
        <v>36</v>
      </c>
      <c r="J4" s="13">
        <f>IF(TRIM(I4)="-", "-", I4*'ราคาต้นทุน (Asset)'!$B$19)</f>
        <v>180000</v>
      </c>
      <c r="K4" s="14">
        <v>45</v>
      </c>
      <c r="L4" s="13">
        <f>IF(TRIM(K4)="-", "-", K4*'ราคาต้นทุน (Asset)'!$B$24)</f>
        <v>1800000</v>
      </c>
      <c r="M4" s="14" t="s">
        <v>475</v>
      </c>
      <c r="N4" s="13" t="str">
        <f>IF(TRIM(M4)="-", "-", M4*'ราคาต้นทุน (Asset)'!$B$25)</f>
        <v>-</v>
      </c>
      <c r="O4" s="14">
        <v>252</v>
      </c>
      <c r="P4" s="13">
        <f>IF(TRIM(O4)="-", "-", O4*'ราคาต้นทุน (Asset)'!$B$26)</f>
        <v>126000</v>
      </c>
      <c r="Q4" s="13">
        <v>14412</v>
      </c>
      <c r="R4" s="13">
        <f>IF(TRIM(Q4)="-", "-", Q4*'ราคาต้นทุน (Asset)'!$B$28)</f>
        <v>1441200</v>
      </c>
      <c r="S4" s="14">
        <v>211</v>
      </c>
      <c r="T4" s="13">
        <f>IF(TRIM(S4)="-", "-", S4*'ราคาต้นทุน (Asset)'!$B$30)</f>
        <v>633000</v>
      </c>
      <c r="U4" s="13">
        <f t="shared" ref="U4:U35" si="1">SUM(D4,F4,H4,J4,L4,N4,P4,R4,T4)</f>
        <v>4993000</v>
      </c>
    </row>
    <row r="5" spans="1:21" ht="24">
      <c r="A5" s="15">
        <v>312</v>
      </c>
      <c r="B5" s="16" t="s">
        <v>270</v>
      </c>
      <c r="C5" s="17">
        <v>1226</v>
      </c>
      <c r="D5" s="13">
        <f>IF(TRIM(C5)="-", "-", C5*'ราคาต้นทุน (Asset)'!$B$8)</f>
        <v>613000</v>
      </c>
      <c r="E5" s="17">
        <v>1085</v>
      </c>
      <c r="F5" s="13">
        <f>IF(TRIM(E5)="-", "-", E5*'ราคาต้นทุน (Asset)'!$B$9)</f>
        <v>217000</v>
      </c>
      <c r="G5" s="18">
        <v>42</v>
      </c>
      <c r="H5" s="13">
        <f>IF(TRIM(G5)="-", "-", G5*'ราคาต้นทุน (Asset)'!$B$11)</f>
        <v>21000</v>
      </c>
      <c r="I5" s="18">
        <v>3</v>
      </c>
      <c r="J5" s="13">
        <f>IF(TRIM(I5)="-", "-", I5*'ราคาต้นทุน (Asset)'!$B$19)</f>
        <v>15000</v>
      </c>
      <c r="K5" s="18">
        <v>15</v>
      </c>
      <c r="L5" s="13">
        <f>IF(TRIM(K5)="-", "-", K5*'ราคาต้นทุน (Asset)'!$B$24)</f>
        <v>600000</v>
      </c>
      <c r="M5" s="18" t="s">
        <v>475</v>
      </c>
      <c r="N5" s="13" t="str">
        <f>IF(TRIM(M5)="-", "-", M5*'ราคาต้นทุน (Asset)'!$B$25)</f>
        <v>-</v>
      </c>
      <c r="O5" s="18">
        <v>1</v>
      </c>
      <c r="P5" s="13">
        <f>IF(TRIM(O5)="-", "-", O5*'ราคาต้นทุน (Asset)'!$B$26)</f>
        <v>500</v>
      </c>
      <c r="Q5" s="17">
        <v>10443</v>
      </c>
      <c r="R5" s="13">
        <f>IF(TRIM(Q5)="-", "-", Q5*'ราคาต้นทุน (Asset)'!$B$28)</f>
        <v>1044300</v>
      </c>
      <c r="S5" s="18">
        <v>95</v>
      </c>
      <c r="T5" s="13">
        <f>IF(TRIM(S5)="-", "-", S5*'ราคาต้นทุน (Asset)'!$B$30)</f>
        <v>285000</v>
      </c>
      <c r="U5" s="13">
        <f t="shared" si="1"/>
        <v>2795800</v>
      </c>
    </row>
    <row r="6" spans="1:21" ht="24">
      <c r="A6" s="15">
        <v>313</v>
      </c>
      <c r="B6" s="16" t="s">
        <v>271</v>
      </c>
      <c r="C6" s="18">
        <v>994</v>
      </c>
      <c r="D6" s="13">
        <f>IF(TRIM(C6)="-", "-", C6*'ราคาต้นทุน (Asset)'!$B$8)</f>
        <v>497000</v>
      </c>
      <c r="E6" s="17">
        <v>1135</v>
      </c>
      <c r="F6" s="13">
        <f>IF(TRIM(E6)="-", "-", E6*'ราคาต้นทุน (Asset)'!$B$9)</f>
        <v>227000</v>
      </c>
      <c r="G6" s="18">
        <v>91</v>
      </c>
      <c r="H6" s="13">
        <f>IF(TRIM(G6)="-", "-", G6*'ราคาต้นทุน (Asset)'!$B$11)</f>
        <v>45500</v>
      </c>
      <c r="I6" s="18">
        <v>18</v>
      </c>
      <c r="J6" s="13">
        <f>IF(TRIM(I6)="-", "-", I6*'ราคาต้นทุน (Asset)'!$B$19)</f>
        <v>90000</v>
      </c>
      <c r="K6" s="18">
        <v>9</v>
      </c>
      <c r="L6" s="13">
        <f>IF(TRIM(K6)="-", "-", K6*'ราคาต้นทุน (Asset)'!$B$24)</f>
        <v>360000</v>
      </c>
      <c r="M6" s="18" t="s">
        <v>475</v>
      </c>
      <c r="N6" s="13" t="str">
        <f>IF(TRIM(M6)="-", "-", M6*'ราคาต้นทุน (Asset)'!$B$25)</f>
        <v>-</v>
      </c>
      <c r="O6" s="18">
        <v>216</v>
      </c>
      <c r="P6" s="13">
        <f>IF(TRIM(O6)="-", "-", O6*'ราคาต้นทุน (Asset)'!$B$26)</f>
        <v>108000</v>
      </c>
      <c r="Q6" s="17">
        <v>8856</v>
      </c>
      <c r="R6" s="13">
        <f>IF(TRIM(Q6)="-", "-", Q6*'ราคาต้นทุน (Asset)'!$B$28)</f>
        <v>885600</v>
      </c>
      <c r="S6" s="18">
        <v>104</v>
      </c>
      <c r="T6" s="13">
        <f>IF(TRIM(S6)="-", "-", S6*'ราคาต้นทุน (Asset)'!$B$30)</f>
        <v>312000</v>
      </c>
      <c r="U6" s="13">
        <f t="shared" si="1"/>
        <v>2525100</v>
      </c>
    </row>
    <row r="7" spans="1:21" ht="24">
      <c r="A7" s="15">
        <v>314</v>
      </c>
      <c r="B7" s="16" t="s">
        <v>260</v>
      </c>
      <c r="C7" s="17">
        <v>1080</v>
      </c>
      <c r="D7" s="13">
        <f>IF(TRIM(C7)="-", "-", C7*'ราคาต้นทุน (Asset)'!$B$8)</f>
        <v>540000</v>
      </c>
      <c r="E7" s="18">
        <v>884</v>
      </c>
      <c r="F7" s="13">
        <f>IF(TRIM(E7)="-", "-", E7*'ราคาต้นทุน (Asset)'!$B$9)</f>
        <v>176800</v>
      </c>
      <c r="G7" s="18">
        <v>78</v>
      </c>
      <c r="H7" s="13">
        <f>IF(TRIM(G7)="-", "-", G7*'ราคาต้นทุน (Asset)'!$B$11)</f>
        <v>39000</v>
      </c>
      <c r="I7" s="18">
        <v>19</v>
      </c>
      <c r="J7" s="13">
        <f>IF(TRIM(I7)="-", "-", I7*'ราคาต้นทุน (Asset)'!$B$19)</f>
        <v>95000</v>
      </c>
      <c r="K7" s="18">
        <v>15</v>
      </c>
      <c r="L7" s="13">
        <f>IF(TRIM(K7)="-", "-", K7*'ราคาต้นทุน (Asset)'!$B$24)</f>
        <v>600000</v>
      </c>
      <c r="M7" s="18" t="s">
        <v>475</v>
      </c>
      <c r="N7" s="13" t="str">
        <f>IF(TRIM(M7)="-", "-", M7*'ราคาต้นทุน (Asset)'!$B$25)</f>
        <v>-</v>
      </c>
      <c r="O7" s="18">
        <v>130</v>
      </c>
      <c r="P7" s="13">
        <f>IF(TRIM(O7)="-", "-", O7*'ราคาต้นทุน (Asset)'!$B$26)</f>
        <v>65000</v>
      </c>
      <c r="Q7" s="17">
        <v>8921</v>
      </c>
      <c r="R7" s="13">
        <f>IF(TRIM(Q7)="-", "-", Q7*'ราคาต้นทุน (Asset)'!$B$28)</f>
        <v>892100</v>
      </c>
      <c r="S7" s="18">
        <v>172</v>
      </c>
      <c r="T7" s="13">
        <f>IF(TRIM(S7)="-", "-", S7*'ราคาต้นทุน (Asset)'!$B$30)</f>
        <v>516000</v>
      </c>
      <c r="U7" s="13">
        <f t="shared" si="1"/>
        <v>2923900</v>
      </c>
    </row>
    <row r="8" spans="1:21" ht="24">
      <c r="A8" s="15">
        <v>317</v>
      </c>
      <c r="B8" s="16" t="s">
        <v>201</v>
      </c>
      <c r="C8" s="17">
        <v>1632</v>
      </c>
      <c r="D8" s="13">
        <f>IF(TRIM(C8)="-", "-", C8*'ราคาต้นทุน (Asset)'!$B$8)</f>
        <v>816000</v>
      </c>
      <c r="E8" s="17">
        <v>1485</v>
      </c>
      <c r="F8" s="13">
        <f>IF(TRIM(E8)="-", "-", E8*'ราคาต้นทุน (Asset)'!$B$9)</f>
        <v>297000</v>
      </c>
      <c r="G8" s="18">
        <v>96</v>
      </c>
      <c r="H8" s="13">
        <f>IF(TRIM(G8)="-", "-", G8*'ราคาต้นทุน (Asset)'!$B$11)</f>
        <v>48000</v>
      </c>
      <c r="I8" s="18">
        <v>16</v>
      </c>
      <c r="J8" s="13">
        <f>IF(TRIM(I8)="-", "-", I8*'ราคาต้นทุน (Asset)'!$B$19)</f>
        <v>80000</v>
      </c>
      <c r="K8" s="18">
        <v>17</v>
      </c>
      <c r="L8" s="13">
        <f>IF(TRIM(K8)="-", "-", K8*'ราคาต้นทุน (Asset)'!$B$24)</f>
        <v>680000</v>
      </c>
      <c r="M8" s="18" t="s">
        <v>475</v>
      </c>
      <c r="N8" s="13" t="str">
        <f>IF(TRIM(M8)="-", "-", M8*'ราคาต้นทุน (Asset)'!$B$25)</f>
        <v>-</v>
      </c>
      <c r="O8" s="18">
        <v>2</v>
      </c>
      <c r="P8" s="13">
        <f>IF(TRIM(O8)="-", "-", O8*'ราคาต้นทุน (Asset)'!$B$26)</f>
        <v>1000</v>
      </c>
      <c r="Q8" s="17">
        <v>12267</v>
      </c>
      <c r="R8" s="13">
        <f>IF(TRIM(Q8)="-", "-", Q8*'ราคาต้นทุน (Asset)'!$B$28)</f>
        <v>1226700</v>
      </c>
      <c r="S8" s="18">
        <v>162</v>
      </c>
      <c r="T8" s="13">
        <f>IF(TRIM(S8)="-", "-", S8*'ราคาต้นทุน (Asset)'!$B$30)</f>
        <v>486000</v>
      </c>
      <c r="U8" s="13">
        <f t="shared" si="1"/>
        <v>3634700</v>
      </c>
    </row>
    <row r="9" spans="1:21" ht="24">
      <c r="A9" s="15">
        <v>318</v>
      </c>
      <c r="B9" s="16" t="s">
        <v>268</v>
      </c>
      <c r="C9" s="18">
        <v>781</v>
      </c>
      <c r="D9" s="13">
        <f>IF(TRIM(C9)="-", "-", C9*'ราคาต้นทุน (Asset)'!$B$8)</f>
        <v>390500</v>
      </c>
      <c r="E9" s="17">
        <v>1530</v>
      </c>
      <c r="F9" s="13">
        <f>IF(TRIM(E9)="-", "-", E9*'ราคาต้นทุน (Asset)'!$B$9)</f>
        <v>306000</v>
      </c>
      <c r="G9" s="18">
        <v>25</v>
      </c>
      <c r="H9" s="13">
        <f>IF(TRIM(G9)="-", "-", G9*'ราคาต้นทุน (Asset)'!$B$11)</f>
        <v>12500</v>
      </c>
      <c r="I9" s="18">
        <v>16</v>
      </c>
      <c r="J9" s="13">
        <f>IF(TRIM(I9)="-", "-", I9*'ราคาต้นทุน (Asset)'!$B$19)</f>
        <v>80000</v>
      </c>
      <c r="K9" s="18">
        <v>40</v>
      </c>
      <c r="L9" s="13">
        <f>IF(TRIM(K9)="-", "-", K9*'ราคาต้นทุน (Asset)'!$B$24)</f>
        <v>1600000</v>
      </c>
      <c r="M9" s="18" t="s">
        <v>475</v>
      </c>
      <c r="N9" s="13" t="str">
        <f>IF(TRIM(M9)="-", "-", M9*'ราคาต้นทุน (Asset)'!$B$25)</f>
        <v>-</v>
      </c>
      <c r="O9" s="18" t="s">
        <v>475</v>
      </c>
      <c r="P9" s="13" t="str">
        <f>IF(TRIM(O9)="-", "-", O9*'ราคาต้นทุน (Asset)'!$B$26)</f>
        <v>-</v>
      </c>
      <c r="Q9" s="17">
        <v>6567</v>
      </c>
      <c r="R9" s="13">
        <f>IF(TRIM(Q9)="-", "-", Q9*'ราคาต้นทุน (Asset)'!$B$28)</f>
        <v>656700</v>
      </c>
      <c r="S9" s="18">
        <v>126</v>
      </c>
      <c r="T9" s="13">
        <f>IF(TRIM(S9)="-", "-", S9*'ราคาต้นทุน (Asset)'!$B$30)</f>
        <v>378000</v>
      </c>
      <c r="U9" s="13">
        <f t="shared" si="1"/>
        <v>3423700</v>
      </c>
    </row>
    <row r="10" spans="1:21" ht="24">
      <c r="A10" s="15">
        <v>319</v>
      </c>
      <c r="B10" s="16" t="s">
        <v>272</v>
      </c>
      <c r="C10" s="18">
        <v>696</v>
      </c>
      <c r="D10" s="13">
        <f>IF(TRIM(C10)="-", "-", C10*'ราคาต้นทุน (Asset)'!$B$8)</f>
        <v>348000</v>
      </c>
      <c r="E10" s="18">
        <v>873</v>
      </c>
      <c r="F10" s="13">
        <f>IF(TRIM(E10)="-", "-", E10*'ราคาต้นทุน (Asset)'!$B$9)</f>
        <v>174600</v>
      </c>
      <c r="G10" s="18">
        <v>12</v>
      </c>
      <c r="H10" s="13">
        <f>IF(TRIM(G10)="-", "-", G10*'ราคาต้นทุน (Asset)'!$B$11)</f>
        <v>6000</v>
      </c>
      <c r="I10" s="18">
        <v>15</v>
      </c>
      <c r="J10" s="13">
        <f>IF(TRIM(I10)="-", "-", I10*'ราคาต้นทุน (Asset)'!$B$19)</f>
        <v>75000</v>
      </c>
      <c r="K10" s="18">
        <v>16</v>
      </c>
      <c r="L10" s="13">
        <f>IF(TRIM(K10)="-", "-", K10*'ราคาต้นทุน (Asset)'!$B$24)</f>
        <v>640000</v>
      </c>
      <c r="M10" s="18" t="s">
        <v>475</v>
      </c>
      <c r="N10" s="13" t="str">
        <f>IF(TRIM(M10)="-", "-", M10*'ราคาต้นทุน (Asset)'!$B$25)</f>
        <v>-</v>
      </c>
      <c r="O10" s="18">
        <v>211</v>
      </c>
      <c r="P10" s="13">
        <f>IF(TRIM(O10)="-", "-", O10*'ราคาต้นทุน (Asset)'!$B$26)</f>
        <v>105500</v>
      </c>
      <c r="Q10" s="17">
        <v>5441</v>
      </c>
      <c r="R10" s="13">
        <f>IF(TRIM(Q10)="-", "-", Q10*'ราคาต้นทุน (Asset)'!$B$28)</f>
        <v>544100</v>
      </c>
      <c r="S10" s="18">
        <v>67</v>
      </c>
      <c r="T10" s="13">
        <f>IF(TRIM(S10)="-", "-", S10*'ราคาต้นทุน (Asset)'!$B$30)</f>
        <v>201000</v>
      </c>
      <c r="U10" s="13">
        <f t="shared" si="1"/>
        <v>2094200</v>
      </c>
    </row>
    <row r="11" spans="1:21" ht="24">
      <c r="A11" s="15">
        <v>321</v>
      </c>
      <c r="B11" s="16" t="s">
        <v>203</v>
      </c>
      <c r="C11" s="17">
        <v>1094</v>
      </c>
      <c r="D11" s="13">
        <f>IF(TRIM(C11)="-", "-", C11*'ราคาต้นทุน (Asset)'!$B$8)</f>
        <v>547000</v>
      </c>
      <c r="E11" s="17">
        <v>1720</v>
      </c>
      <c r="F11" s="13">
        <f>IF(TRIM(E11)="-", "-", E11*'ราคาต้นทุน (Asset)'!$B$9)</f>
        <v>344000</v>
      </c>
      <c r="G11" s="18">
        <v>34</v>
      </c>
      <c r="H11" s="13">
        <f>IF(TRIM(G11)="-", "-", G11*'ราคาต้นทุน (Asset)'!$B$11)</f>
        <v>17000</v>
      </c>
      <c r="I11" s="18">
        <v>37</v>
      </c>
      <c r="J11" s="13">
        <f>IF(TRIM(I11)="-", "-", I11*'ราคาต้นทุน (Asset)'!$B$19)</f>
        <v>185000</v>
      </c>
      <c r="K11" s="18">
        <v>31</v>
      </c>
      <c r="L11" s="13">
        <f>IF(TRIM(K11)="-", "-", K11*'ราคาต้นทุน (Asset)'!$B$24)</f>
        <v>1240000</v>
      </c>
      <c r="M11" s="18" t="s">
        <v>475</v>
      </c>
      <c r="N11" s="13" t="str">
        <f>IF(TRIM(M11)="-", "-", M11*'ราคาต้นทุน (Asset)'!$B$25)</f>
        <v>-</v>
      </c>
      <c r="O11" s="18">
        <v>112</v>
      </c>
      <c r="P11" s="13">
        <f>IF(TRIM(O11)="-", "-", O11*'ราคาต้นทุน (Asset)'!$B$26)</f>
        <v>56000</v>
      </c>
      <c r="Q11" s="17">
        <v>10883</v>
      </c>
      <c r="R11" s="13">
        <f>IF(TRIM(Q11)="-", "-", Q11*'ราคาต้นทุน (Asset)'!$B$28)</f>
        <v>1088300</v>
      </c>
      <c r="S11" s="18">
        <v>303</v>
      </c>
      <c r="T11" s="13">
        <f>IF(TRIM(S11)="-", "-", S11*'ราคาต้นทุน (Asset)'!$B$30)</f>
        <v>909000</v>
      </c>
      <c r="U11" s="13">
        <f t="shared" si="1"/>
        <v>4386300</v>
      </c>
    </row>
    <row r="12" spans="1:21" ht="24">
      <c r="A12" s="15">
        <v>322</v>
      </c>
      <c r="B12" s="16" t="s">
        <v>213</v>
      </c>
      <c r="C12" s="17">
        <v>1206</v>
      </c>
      <c r="D12" s="13">
        <f>IF(TRIM(C12)="-", "-", C12*'ราคาต้นทุน (Asset)'!$B$8)</f>
        <v>603000</v>
      </c>
      <c r="E12" s="17">
        <v>4054</v>
      </c>
      <c r="F12" s="13">
        <f>IF(TRIM(E12)="-", "-", E12*'ราคาต้นทุน (Asset)'!$B$9)</f>
        <v>810800</v>
      </c>
      <c r="G12" s="18">
        <v>62</v>
      </c>
      <c r="H12" s="13">
        <f>IF(TRIM(G12)="-", "-", G12*'ราคาต้นทุน (Asset)'!$B$11)</f>
        <v>31000</v>
      </c>
      <c r="I12" s="18">
        <v>22</v>
      </c>
      <c r="J12" s="13">
        <f>IF(TRIM(I12)="-", "-", I12*'ราคาต้นทุน (Asset)'!$B$19)</f>
        <v>110000</v>
      </c>
      <c r="K12" s="18">
        <v>25</v>
      </c>
      <c r="L12" s="13">
        <f>IF(TRIM(K12)="-", "-", K12*'ราคาต้นทุน (Asset)'!$B$24)</f>
        <v>1000000</v>
      </c>
      <c r="M12" s="18" t="s">
        <v>475</v>
      </c>
      <c r="N12" s="13" t="str">
        <f>IF(TRIM(M12)="-", "-", M12*'ราคาต้นทุน (Asset)'!$B$25)</f>
        <v>-</v>
      </c>
      <c r="O12" s="18" t="s">
        <v>475</v>
      </c>
      <c r="P12" s="13" t="str">
        <f>IF(TRIM(O12)="-", "-", O12*'ราคาต้นทุน (Asset)'!$B$26)</f>
        <v>-</v>
      </c>
      <c r="Q12" s="17">
        <v>8629</v>
      </c>
      <c r="R12" s="13">
        <f>IF(TRIM(Q12)="-", "-", Q12*'ราคาต้นทุน (Asset)'!$B$28)</f>
        <v>862900</v>
      </c>
      <c r="S12" s="18">
        <v>236</v>
      </c>
      <c r="T12" s="13">
        <f>IF(TRIM(S12)="-", "-", S12*'ราคาต้นทุน (Asset)'!$B$30)</f>
        <v>708000</v>
      </c>
      <c r="U12" s="13">
        <f t="shared" si="1"/>
        <v>4125700</v>
      </c>
    </row>
    <row r="13" spans="1:21" ht="24">
      <c r="A13" s="15">
        <v>323</v>
      </c>
      <c r="B13" s="16" t="s">
        <v>231</v>
      </c>
      <c r="C13" s="18">
        <v>804</v>
      </c>
      <c r="D13" s="13">
        <f>IF(TRIM(C13)="-", "-", C13*'ราคาต้นทุน (Asset)'!$B$8)</f>
        <v>402000</v>
      </c>
      <c r="E13" s="18">
        <v>725</v>
      </c>
      <c r="F13" s="13">
        <f>IF(TRIM(E13)="-", "-", E13*'ราคาต้นทุน (Asset)'!$B$9)</f>
        <v>145000</v>
      </c>
      <c r="G13" s="18">
        <v>44</v>
      </c>
      <c r="H13" s="13">
        <f>IF(TRIM(G13)="-", "-", G13*'ราคาต้นทุน (Asset)'!$B$11)</f>
        <v>22000</v>
      </c>
      <c r="I13" s="18">
        <v>14</v>
      </c>
      <c r="J13" s="13">
        <f>IF(TRIM(I13)="-", "-", I13*'ราคาต้นทุน (Asset)'!$B$19)</f>
        <v>70000</v>
      </c>
      <c r="K13" s="18">
        <v>28</v>
      </c>
      <c r="L13" s="13">
        <f>IF(TRIM(K13)="-", "-", K13*'ราคาต้นทุน (Asset)'!$B$24)</f>
        <v>1120000</v>
      </c>
      <c r="M13" s="18" t="s">
        <v>475</v>
      </c>
      <c r="N13" s="13" t="str">
        <f>IF(TRIM(M13)="-", "-", M13*'ราคาต้นทุน (Asset)'!$B$25)</f>
        <v>-</v>
      </c>
      <c r="O13" s="18">
        <v>301</v>
      </c>
      <c r="P13" s="13">
        <f>IF(TRIM(O13)="-", "-", O13*'ราคาต้นทุน (Asset)'!$B$26)</f>
        <v>150500</v>
      </c>
      <c r="Q13" s="17">
        <v>8125</v>
      </c>
      <c r="R13" s="13">
        <f>IF(TRIM(Q13)="-", "-", Q13*'ราคาต้นทุน (Asset)'!$B$28)</f>
        <v>812500</v>
      </c>
      <c r="S13" s="18">
        <v>171</v>
      </c>
      <c r="T13" s="13">
        <f>IF(TRIM(S13)="-", "-", S13*'ราคาต้นทุน (Asset)'!$B$30)</f>
        <v>513000</v>
      </c>
      <c r="U13" s="13">
        <f t="shared" si="1"/>
        <v>3235000</v>
      </c>
    </row>
    <row r="14" spans="1:21" ht="24">
      <c r="A14" s="15">
        <v>324</v>
      </c>
      <c r="B14" s="16" t="s">
        <v>230</v>
      </c>
      <c r="C14" s="18">
        <v>311</v>
      </c>
      <c r="D14" s="13">
        <f>IF(TRIM(C14)="-", "-", C14*'ราคาต้นทุน (Asset)'!$B$8)</f>
        <v>155500</v>
      </c>
      <c r="E14" s="18">
        <v>870</v>
      </c>
      <c r="F14" s="13">
        <f>IF(TRIM(E14)="-", "-", E14*'ราคาต้นทุน (Asset)'!$B$9)</f>
        <v>174000</v>
      </c>
      <c r="G14" s="18">
        <v>31</v>
      </c>
      <c r="H14" s="13">
        <f>IF(TRIM(G14)="-", "-", G14*'ราคาต้นทุน (Asset)'!$B$11)</f>
        <v>15500</v>
      </c>
      <c r="I14" s="18">
        <v>24</v>
      </c>
      <c r="J14" s="13">
        <f>IF(TRIM(I14)="-", "-", I14*'ราคาต้นทุน (Asset)'!$B$19)</f>
        <v>120000</v>
      </c>
      <c r="K14" s="18">
        <v>53</v>
      </c>
      <c r="L14" s="13">
        <f>IF(TRIM(K14)="-", "-", K14*'ราคาต้นทุน (Asset)'!$B$24)</f>
        <v>2120000</v>
      </c>
      <c r="M14" s="18" t="s">
        <v>475</v>
      </c>
      <c r="N14" s="13" t="str">
        <f>IF(TRIM(M14)="-", "-", M14*'ราคาต้นทุน (Asset)'!$B$25)</f>
        <v>-</v>
      </c>
      <c r="O14" s="18">
        <v>145</v>
      </c>
      <c r="P14" s="13">
        <f>IF(TRIM(O14)="-", "-", O14*'ราคาต้นทุน (Asset)'!$B$26)</f>
        <v>72500</v>
      </c>
      <c r="Q14" s="17">
        <v>11918</v>
      </c>
      <c r="R14" s="13">
        <f>IF(TRIM(Q14)="-", "-", Q14*'ราคาต้นทุน (Asset)'!$B$28)</f>
        <v>1191800</v>
      </c>
      <c r="S14" s="18">
        <v>181</v>
      </c>
      <c r="T14" s="13">
        <f>IF(TRIM(S14)="-", "-", S14*'ราคาต้นทุน (Asset)'!$B$30)</f>
        <v>543000</v>
      </c>
      <c r="U14" s="13">
        <f t="shared" si="1"/>
        <v>4392300</v>
      </c>
    </row>
    <row r="15" spans="1:21" ht="24">
      <c r="A15" s="15">
        <v>325</v>
      </c>
      <c r="B15" s="16" t="s">
        <v>291</v>
      </c>
      <c r="C15" s="17">
        <v>1497</v>
      </c>
      <c r="D15" s="13">
        <f>IF(TRIM(C15)="-", "-", C15*'ราคาต้นทุน (Asset)'!$B$8)</f>
        <v>748500</v>
      </c>
      <c r="E15" s="17">
        <v>2960</v>
      </c>
      <c r="F15" s="13">
        <f>IF(TRIM(E15)="-", "-", E15*'ราคาต้นทุน (Asset)'!$B$9)</f>
        <v>592000</v>
      </c>
      <c r="G15" s="18">
        <v>68</v>
      </c>
      <c r="H15" s="13">
        <f>IF(TRIM(G15)="-", "-", G15*'ราคาต้นทุน (Asset)'!$B$11)</f>
        <v>34000</v>
      </c>
      <c r="I15" s="18">
        <v>25</v>
      </c>
      <c r="J15" s="13">
        <f>IF(TRIM(I15)="-", "-", I15*'ราคาต้นทุน (Asset)'!$B$19)</f>
        <v>125000</v>
      </c>
      <c r="K15" s="18">
        <v>28</v>
      </c>
      <c r="L15" s="13">
        <f>IF(TRIM(K15)="-", "-", K15*'ราคาต้นทุน (Asset)'!$B$24)</f>
        <v>1120000</v>
      </c>
      <c r="M15" s="18" t="s">
        <v>475</v>
      </c>
      <c r="N15" s="13" t="str">
        <f>IF(TRIM(M15)="-", "-", M15*'ราคาต้นทุน (Asset)'!$B$25)</f>
        <v>-</v>
      </c>
      <c r="O15" s="18">
        <v>146</v>
      </c>
      <c r="P15" s="13">
        <f>IF(TRIM(O15)="-", "-", O15*'ราคาต้นทุน (Asset)'!$B$26)</f>
        <v>73000</v>
      </c>
      <c r="Q15" s="17">
        <v>6817</v>
      </c>
      <c r="R15" s="13">
        <f>IF(TRIM(Q15)="-", "-", Q15*'ราคาต้นทุน (Asset)'!$B$28)</f>
        <v>681700</v>
      </c>
      <c r="S15" s="18" t="s">
        <v>475</v>
      </c>
      <c r="T15" s="13" t="str">
        <f>IF(TRIM(S15)="-", "-", S15*'ราคาต้นทุน (Asset)'!$B$30)</f>
        <v>-</v>
      </c>
      <c r="U15" s="13">
        <f t="shared" si="1"/>
        <v>3374200</v>
      </c>
    </row>
    <row r="16" spans="1:21" ht="24">
      <c r="A16" s="15">
        <v>326</v>
      </c>
      <c r="B16" s="16" t="s">
        <v>283</v>
      </c>
      <c r="C16" s="17">
        <v>1481</v>
      </c>
      <c r="D16" s="13">
        <f>IF(TRIM(C16)="-", "-", C16*'ราคาต้นทุน (Asset)'!$B$8)</f>
        <v>740500</v>
      </c>
      <c r="E16" s="17">
        <v>2727</v>
      </c>
      <c r="F16" s="13">
        <f>IF(TRIM(E16)="-", "-", E16*'ราคาต้นทุน (Asset)'!$B$9)</f>
        <v>545400</v>
      </c>
      <c r="G16" s="18">
        <v>23</v>
      </c>
      <c r="H16" s="13">
        <f>IF(TRIM(G16)="-", "-", G16*'ราคาต้นทุน (Asset)'!$B$11)</f>
        <v>11500</v>
      </c>
      <c r="I16" s="18">
        <v>30</v>
      </c>
      <c r="J16" s="13">
        <f>IF(TRIM(I16)="-", "-", I16*'ราคาต้นทุน (Asset)'!$B$19)</f>
        <v>150000</v>
      </c>
      <c r="K16" s="18">
        <v>12</v>
      </c>
      <c r="L16" s="13">
        <f>IF(TRIM(K16)="-", "-", K16*'ราคาต้นทุน (Asset)'!$B$24)</f>
        <v>480000</v>
      </c>
      <c r="M16" s="18" t="s">
        <v>475</v>
      </c>
      <c r="N16" s="13" t="str">
        <f>IF(TRIM(M16)="-", "-", M16*'ราคาต้นทุน (Asset)'!$B$25)</f>
        <v>-</v>
      </c>
      <c r="O16" s="18">
        <v>162</v>
      </c>
      <c r="P16" s="13">
        <f>IF(TRIM(O16)="-", "-", O16*'ราคาต้นทุน (Asset)'!$B$26)</f>
        <v>81000</v>
      </c>
      <c r="Q16" s="17">
        <v>7848</v>
      </c>
      <c r="R16" s="13">
        <f>IF(TRIM(Q16)="-", "-", Q16*'ราคาต้นทุน (Asset)'!$B$28)</f>
        <v>784800</v>
      </c>
      <c r="S16" s="18">
        <v>263</v>
      </c>
      <c r="T16" s="13">
        <f>IF(TRIM(S16)="-", "-", S16*'ราคาต้นทุน (Asset)'!$B$30)</f>
        <v>789000</v>
      </c>
      <c r="U16" s="13">
        <f t="shared" si="1"/>
        <v>3582200</v>
      </c>
    </row>
    <row r="17" spans="1:21" ht="24">
      <c r="A17" s="15">
        <v>327</v>
      </c>
      <c r="B17" s="16" t="s">
        <v>247</v>
      </c>
      <c r="C17" s="17">
        <v>1268</v>
      </c>
      <c r="D17" s="13">
        <f>IF(TRIM(C17)="-", "-", C17*'ราคาต้นทุน (Asset)'!$B$8)</f>
        <v>634000</v>
      </c>
      <c r="E17" s="18">
        <v>221</v>
      </c>
      <c r="F17" s="13">
        <f>IF(TRIM(E17)="-", "-", E17*'ราคาต้นทุน (Asset)'!$B$9)</f>
        <v>44200</v>
      </c>
      <c r="G17" s="18">
        <v>36</v>
      </c>
      <c r="H17" s="13">
        <f>IF(TRIM(G17)="-", "-", G17*'ราคาต้นทุน (Asset)'!$B$11)</f>
        <v>18000</v>
      </c>
      <c r="I17" s="18">
        <v>12</v>
      </c>
      <c r="J17" s="13">
        <f>IF(TRIM(I17)="-", "-", I17*'ราคาต้นทุน (Asset)'!$B$19)</f>
        <v>60000</v>
      </c>
      <c r="K17" s="18">
        <v>19</v>
      </c>
      <c r="L17" s="13">
        <f>IF(TRIM(K17)="-", "-", K17*'ราคาต้นทุน (Asset)'!$B$24)</f>
        <v>760000</v>
      </c>
      <c r="M17" s="18" t="s">
        <v>475</v>
      </c>
      <c r="N17" s="13" t="str">
        <f>IF(TRIM(M17)="-", "-", M17*'ราคาต้นทุน (Asset)'!$B$25)</f>
        <v>-</v>
      </c>
      <c r="O17" s="18">
        <v>3</v>
      </c>
      <c r="P17" s="13">
        <f>IF(TRIM(O17)="-", "-", O17*'ราคาต้นทุน (Asset)'!$B$26)</f>
        <v>1500</v>
      </c>
      <c r="Q17" s="17">
        <v>10171</v>
      </c>
      <c r="R17" s="13">
        <f>IF(TRIM(Q17)="-", "-", Q17*'ราคาต้นทุน (Asset)'!$B$28)</f>
        <v>1017100</v>
      </c>
      <c r="S17" s="18">
        <v>219</v>
      </c>
      <c r="T17" s="13">
        <f>IF(TRIM(S17)="-", "-", S17*'ราคาต้นทุน (Asset)'!$B$30)</f>
        <v>657000</v>
      </c>
      <c r="U17" s="13">
        <f t="shared" si="1"/>
        <v>3191800</v>
      </c>
    </row>
    <row r="18" spans="1:21" ht="24">
      <c r="A18" s="15">
        <v>328</v>
      </c>
      <c r="B18" s="16" t="s">
        <v>292</v>
      </c>
      <c r="C18" s="17">
        <v>1064</v>
      </c>
      <c r="D18" s="13">
        <f>IF(TRIM(C18)="-", "-", C18*'ราคาต้นทุน (Asset)'!$B$8)</f>
        <v>532000</v>
      </c>
      <c r="E18" s="17">
        <v>1811</v>
      </c>
      <c r="F18" s="13">
        <f>IF(TRIM(E18)="-", "-", E18*'ราคาต้นทุน (Asset)'!$B$9)</f>
        <v>362200</v>
      </c>
      <c r="G18" s="18">
        <v>30</v>
      </c>
      <c r="H18" s="13">
        <f>IF(TRIM(G18)="-", "-", G18*'ราคาต้นทุน (Asset)'!$B$11)</f>
        <v>15000</v>
      </c>
      <c r="I18" s="18">
        <v>18</v>
      </c>
      <c r="J18" s="13">
        <f>IF(TRIM(I18)="-", "-", I18*'ราคาต้นทุน (Asset)'!$B$19)</f>
        <v>90000</v>
      </c>
      <c r="K18" s="18">
        <v>22</v>
      </c>
      <c r="L18" s="13">
        <f>IF(TRIM(K18)="-", "-", K18*'ราคาต้นทุน (Asset)'!$B$24)</f>
        <v>880000</v>
      </c>
      <c r="M18" s="18" t="s">
        <v>475</v>
      </c>
      <c r="N18" s="13" t="str">
        <f>IF(TRIM(M18)="-", "-", M18*'ราคาต้นทุน (Asset)'!$B$25)</f>
        <v>-</v>
      </c>
      <c r="O18" s="18">
        <v>2</v>
      </c>
      <c r="P18" s="13">
        <f>IF(TRIM(O18)="-", "-", O18*'ราคาต้นทุน (Asset)'!$B$26)</f>
        <v>1000</v>
      </c>
      <c r="Q18" s="17">
        <v>3906</v>
      </c>
      <c r="R18" s="13">
        <f>IF(TRIM(Q18)="-", "-", Q18*'ราคาต้นทุน (Asset)'!$B$28)</f>
        <v>390600</v>
      </c>
      <c r="S18" s="18">
        <v>118</v>
      </c>
      <c r="T18" s="13">
        <f>IF(TRIM(S18)="-", "-", S18*'ราคาต้นทุน (Asset)'!$B$30)</f>
        <v>354000</v>
      </c>
      <c r="U18" s="13">
        <f t="shared" si="1"/>
        <v>2624800</v>
      </c>
    </row>
    <row r="19" spans="1:21" ht="24">
      <c r="A19" s="15">
        <v>329</v>
      </c>
      <c r="B19" s="16" t="s">
        <v>293</v>
      </c>
      <c r="C19" s="18">
        <v>867</v>
      </c>
      <c r="D19" s="13">
        <f>IF(TRIM(C19)="-", "-", C19*'ราคาต้นทุน (Asset)'!$B$8)</f>
        <v>433500</v>
      </c>
      <c r="E19" s="17">
        <v>1029</v>
      </c>
      <c r="F19" s="13">
        <f>IF(TRIM(E19)="-", "-", E19*'ราคาต้นทุน (Asset)'!$B$9)</f>
        <v>205800</v>
      </c>
      <c r="G19" s="18">
        <v>21</v>
      </c>
      <c r="H19" s="13">
        <f>IF(TRIM(G19)="-", "-", G19*'ราคาต้นทุน (Asset)'!$B$11)</f>
        <v>10500</v>
      </c>
      <c r="I19" s="18">
        <v>11</v>
      </c>
      <c r="J19" s="13">
        <f>IF(TRIM(I19)="-", "-", I19*'ราคาต้นทุน (Asset)'!$B$19)</f>
        <v>55000</v>
      </c>
      <c r="K19" s="18">
        <v>15</v>
      </c>
      <c r="L19" s="13">
        <f>IF(TRIM(K19)="-", "-", K19*'ราคาต้นทุน (Asset)'!$B$24)</f>
        <v>600000</v>
      </c>
      <c r="M19" s="18">
        <v>3</v>
      </c>
      <c r="N19" s="13">
        <f>IF(TRIM(M19)="-", "-", M19*'ราคาต้นทุน (Asset)'!$B$25)</f>
        <v>1500</v>
      </c>
      <c r="O19" s="18">
        <v>1</v>
      </c>
      <c r="P19" s="13">
        <f>IF(TRIM(O19)="-", "-", O19*'ราคาต้นทุน (Asset)'!$B$26)</f>
        <v>500</v>
      </c>
      <c r="Q19" s="17">
        <v>8366</v>
      </c>
      <c r="R19" s="13">
        <f>IF(TRIM(Q19)="-", "-", Q19*'ราคาต้นทุน (Asset)'!$B$28)</f>
        <v>836600</v>
      </c>
      <c r="S19" s="18">
        <v>130</v>
      </c>
      <c r="T19" s="13">
        <f>IF(TRIM(S19)="-", "-", S19*'ราคาต้นทุน (Asset)'!$B$30)</f>
        <v>390000</v>
      </c>
      <c r="U19" s="13">
        <f t="shared" si="1"/>
        <v>2533400</v>
      </c>
    </row>
    <row r="20" spans="1:21" ht="24">
      <c r="A20" s="15">
        <v>331</v>
      </c>
      <c r="B20" s="16" t="s">
        <v>265</v>
      </c>
      <c r="C20" s="17">
        <v>1338</v>
      </c>
      <c r="D20" s="13">
        <f>IF(TRIM(C20)="-", "-", C20*'ราคาต้นทุน (Asset)'!$B$8)</f>
        <v>669000</v>
      </c>
      <c r="E20" s="17">
        <v>3511</v>
      </c>
      <c r="F20" s="13">
        <f>IF(TRIM(E20)="-", "-", E20*'ราคาต้นทุน (Asset)'!$B$9)</f>
        <v>702200</v>
      </c>
      <c r="G20" s="18">
        <v>46</v>
      </c>
      <c r="H20" s="13">
        <f>IF(TRIM(G20)="-", "-", G20*'ราคาต้นทุน (Asset)'!$B$11)</f>
        <v>23000</v>
      </c>
      <c r="I20" s="18">
        <v>5</v>
      </c>
      <c r="J20" s="13">
        <f>IF(TRIM(I20)="-", "-", I20*'ราคาต้นทุน (Asset)'!$B$19)</f>
        <v>25000</v>
      </c>
      <c r="K20" s="18">
        <v>6</v>
      </c>
      <c r="L20" s="13">
        <f>IF(TRIM(K20)="-", "-", K20*'ราคาต้นทุน (Asset)'!$B$24)</f>
        <v>240000</v>
      </c>
      <c r="M20" s="18" t="s">
        <v>475</v>
      </c>
      <c r="N20" s="13" t="str">
        <f>IF(TRIM(M20)="-", "-", M20*'ราคาต้นทุน (Asset)'!$B$25)</f>
        <v>-</v>
      </c>
      <c r="O20" s="18">
        <v>132</v>
      </c>
      <c r="P20" s="13">
        <f>IF(TRIM(O20)="-", "-", O20*'ราคาต้นทุน (Asset)'!$B$26)</f>
        <v>66000</v>
      </c>
      <c r="Q20" s="17">
        <v>7261</v>
      </c>
      <c r="R20" s="13">
        <f>IF(TRIM(Q20)="-", "-", Q20*'ราคาต้นทุน (Asset)'!$B$28)</f>
        <v>726100</v>
      </c>
      <c r="S20" s="18">
        <v>210</v>
      </c>
      <c r="T20" s="13">
        <f>IF(TRIM(S20)="-", "-", S20*'ราคาต้นทุน (Asset)'!$B$30)</f>
        <v>630000</v>
      </c>
      <c r="U20" s="13">
        <f t="shared" si="1"/>
        <v>3081300</v>
      </c>
    </row>
    <row r="21" spans="1:21" ht="24">
      <c r="A21" s="15">
        <v>332</v>
      </c>
      <c r="B21" s="16" t="s">
        <v>240</v>
      </c>
      <c r="C21" s="18">
        <v>667</v>
      </c>
      <c r="D21" s="13">
        <f>IF(TRIM(C21)="-", "-", C21*'ราคาต้นทุน (Asset)'!$B$8)</f>
        <v>333500</v>
      </c>
      <c r="E21" s="17">
        <v>4535</v>
      </c>
      <c r="F21" s="13">
        <f>IF(TRIM(E21)="-", "-", E21*'ราคาต้นทุน (Asset)'!$B$9)</f>
        <v>907000</v>
      </c>
      <c r="G21" s="18">
        <v>58</v>
      </c>
      <c r="H21" s="13">
        <f>IF(TRIM(G21)="-", "-", G21*'ราคาต้นทุน (Asset)'!$B$11)</f>
        <v>29000</v>
      </c>
      <c r="I21" s="18">
        <v>22</v>
      </c>
      <c r="J21" s="13">
        <f>IF(TRIM(I21)="-", "-", I21*'ราคาต้นทุน (Asset)'!$B$19)</f>
        <v>110000</v>
      </c>
      <c r="K21" s="18">
        <v>12</v>
      </c>
      <c r="L21" s="13">
        <f>IF(TRIM(K21)="-", "-", K21*'ราคาต้นทุน (Asset)'!$B$24)</f>
        <v>480000</v>
      </c>
      <c r="M21" s="18" t="s">
        <v>475</v>
      </c>
      <c r="N21" s="13" t="str">
        <f>IF(TRIM(M21)="-", "-", M21*'ราคาต้นทุน (Asset)'!$B$25)</f>
        <v>-</v>
      </c>
      <c r="O21" s="18">
        <v>109</v>
      </c>
      <c r="P21" s="13">
        <f>IF(TRIM(O21)="-", "-", O21*'ราคาต้นทุน (Asset)'!$B$26)</f>
        <v>54500</v>
      </c>
      <c r="Q21" s="17">
        <v>7251</v>
      </c>
      <c r="R21" s="13">
        <f>IF(TRIM(Q21)="-", "-", Q21*'ราคาต้นทุน (Asset)'!$B$28)</f>
        <v>725100</v>
      </c>
      <c r="S21" s="18">
        <v>176</v>
      </c>
      <c r="T21" s="13">
        <f>IF(TRIM(S21)="-", "-", S21*'ราคาต้นทุน (Asset)'!$B$30)</f>
        <v>528000</v>
      </c>
      <c r="U21" s="13">
        <f t="shared" si="1"/>
        <v>3167100</v>
      </c>
    </row>
    <row r="22" spans="1:21" ht="24">
      <c r="A22" s="15">
        <v>333</v>
      </c>
      <c r="B22" s="16" t="s">
        <v>285</v>
      </c>
      <c r="C22" s="17">
        <v>1044</v>
      </c>
      <c r="D22" s="13">
        <f>IF(TRIM(C22)="-", "-", C22*'ราคาต้นทุน (Asset)'!$B$8)</f>
        <v>522000</v>
      </c>
      <c r="E22" s="17">
        <v>2237</v>
      </c>
      <c r="F22" s="13">
        <f>IF(TRIM(E22)="-", "-", E22*'ราคาต้นทุน (Asset)'!$B$9)</f>
        <v>447400</v>
      </c>
      <c r="G22" s="18">
        <v>80</v>
      </c>
      <c r="H22" s="13">
        <f>IF(TRIM(G22)="-", "-", G22*'ราคาต้นทุน (Asset)'!$B$11)</f>
        <v>40000</v>
      </c>
      <c r="I22" s="18">
        <v>32</v>
      </c>
      <c r="J22" s="13">
        <f>IF(TRIM(I22)="-", "-", I22*'ราคาต้นทุน (Asset)'!$B$19)</f>
        <v>160000</v>
      </c>
      <c r="K22" s="18">
        <v>19</v>
      </c>
      <c r="L22" s="13">
        <f>IF(TRIM(K22)="-", "-", K22*'ราคาต้นทุน (Asset)'!$B$24)</f>
        <v>760000</v>
      </c>
      <c r="M22" s="18" t="s">
        <v>475</v>
      </c>
      <c r="N22" s="13" t="str">
        <f>IF(TRIM(M22)="-", "-", M22*'ราคาต้นทุน (Asset)'!$B$25)</f>
        <v>-</v>
      </c>
      <c r="O22" s="18">
        <v>1</v>
      </c>
      <c r="P22" s="13">
        <f>IF(TRIM(O22)="-", "-", O22*'ราคาต้นทุน (Asset)'!$B$26)</f>
        <v>500</v>
      </c>
      <c r="Q22" s="17">
        <v>8618</v>
      </c>
      <c r="R22" s="13">
        <f>IF(TRIM(Q22)="-", "-", Q22*'ราคาต้นทุน (Asset)'!$B$28)</f>
        <v>861800</v>
      </c>
      <c r="S22" s="18">
        <v>178</v>
      </c>
      <c r="T22" s="13">
        <f>IF(TRIM(S22)="-", "-", S22*'ราคาต้นทุน (Asset)'!$B$30)</f>
        <v>534000</v>
      </c>
      <c r="U22" s="13">
        <f t="shared" si="1"/>
        <v>3325700</v>
      </c>
    </row>
    <row r="23" spans="1:21" ht="24">
      <c r="A23" s="15">
        <v>335</v>
      </c>
      <c r="B23" s="16" t="s">
        <v>238</v>
      </c>
      <c r="C23" s="18">
        <v>567</v>
      </c>
      <c r="D23" s="13">
        <f>IF(TRIM(C23)="-", "-", C23*'ราคาต้นทุน (Asset)'!$B$8)</f>
        <v>283500</v>
      </c>
      <c r="E23" s="17">
        <v>5898</v>
      </c>
      <c r="F23" s="13">
        <f>IF(TRIM(E23)="-", "-", E23*'ราคาต้นทุน (Asset)'!$B$9)</f>
        <v>1179600</v>
      </c>
      <c r="G23" s="18">
        <v>47</v>
      </c>
      <c r="H23" s="13">
        <f>IF(TRIM(G23)="-", "-", G23*'ราคาต้นทุน (Asset)'!$B$11)</f>
        <v>23500</v>
      </c>
      <c r="I23" s="18">
        <v>13</v>
      </c>
      <c r="J23" s="13">
        <f>IF(TRIM(I23)="-", "-", I23*'ราคาต้นทุน (Asset)'!$B$19)</f>
        <v>65000</v>
      </c>
      <c r="K23" s="18">
        <v>42</v>
      </c>
      <c r="L23" s="13">
        <f>IF(TRIM(K23)="-", "-", K23*'ราคาต้นทุน (Asset)'!$B$24)</f>
        <v>1680000</v>
      </c>
      <c r="M23" s="18">
        <v>4</v>
      </c>
      <c r="N23" s="13">
        <f>IF(TRIM(M23)="-", "-", M23*'ราคาต้นทุน (Asset)'!$B$25)</f>
        <v>2000</v>
      </c>
      <c r="O23" s="18">
        <v>167</v>
      </c>
      <c r="P23" s="13">
        <f>IF(TRIM(O23)="-", "-", O23*'ราคาต้นทุน (Asset)'!$B$26)</f>
        <v>83500</v>
      </c>
      <c r="Q23" s="17">
        <v>14620</v>
      </c>
      <c r="R23" s="13">
        <f>IF(TRIM(Q23)="-", "-", Q23*'ราคาต้นทุน (Asset)'!$B$28)</f>
        <v>1462000</v>
      </c>
      <c r="S23" s="18">
        <v>249</v>
      </c>
      <c r="T23" s="13">
        <f>IF(TRIM(S23)="-", "-", S23*'ราคาต้นทุน (Asset)'!$B$30)</f>
        <v>747000</v>
      </c>
      <c r="U23" s="13">
        <f t="shared" si="1"/>
        <v>5526100</v>
      </c>
    </row>
    <row r="24" spans="1:21" ht="24">
      <c r="A24" s="15">
        <v>336</v>
      </c>
      <c r="B24" s="16" t="s">
        <v>236</v>
      </c>
      <c r="C24" s="18">
        <v>59</v>
      </c>
      <c r="D24" s="13">
        <f>IF(TRIM(C24)="-", "-", C24*'ราคาต้นทุน (Asset)'!$B$8)</f>
        <v>29500</v>
      </c>
      <c r="E24" s="17">
        <v>1979</v>
      </c>
      <c r="F24" s="13">
        <f>IF(TRIM(E24)="-", "-", E24*'ราคาต้นทุน (Asset)'!$B$9)</f>
        <v>395800</v>
      </c>
      <c r="G24" s="18">
        <v>49</v>
      </c>
      <c r="H24" s="13">
        <f>IF(TRIM(G24)="-", "-", G24*'ราคาต้นทุน (Asset)'!$B$11)</f>
        <v>24500</v>
      </c>
      <c r="I24" s="18">
        <v>33</v>
      </c>
      <c r="J24" s="13">
        <f>IF(TRIM(I24)="-", "-", I24*'ราคาต้นทุน (Asset)'!$B$19)</f>
        <v>165000</v>
      </c>
      <c r="K24" s="18">
        <v>31</v>
      </c>
      <c r="L24" s="13">
        <f>IF(TRIM(K24)="-", "-", K24*'ราคาต้นทุน (Asset)'!$B$24)</f>
        <v>1240000</v>
      </c>
      <c r="M24" s="18" t="s">
        <v>475</v>
      </c>
      <c r="N24" s="13" t="str">
        <f>IF(TRIM(M24)="-", "-", M24*'ราคาต้นทุน (Asset)'!$B$25)</f>
        <v>-</v>
      </c>
      <c r="O24" s="18">
        <v>82</v>
      </c>
      <c r="P24" s="13">
        <f>IF(TRIM(O24)="-", "-", O24*'ราคาต้นทุน (Asset)'!$B$26)</f>
        <v>41000</v>
      </c>
      <c r="Q24" s="17">
        <v>7377</v>
      </c>
      <c r="R24" s="13">
        <f>IF(TRIM(Q24)="-", "-", Q24*'ราคาต้นทุน (Asset)'!$B$28)</f>
        <v>737700</v>
      </c>
      <c r="S24" s="18">
        <v>392</v>
      </c>
      <c r="T24" s="13">
        <f>IF(TRIM(S24)="-", "-", S24*'ราคาต้นทุน (Asset)'!$B$30)</f>
        <v>1176000</v>
      </c>
      <c r="U24" s="13">
        <f t="shared" si="1"/>
        <v>3809500</v>
      </c>
    </row>
    <row r="25" spans="1:21" ht="24">
      <c r="A25" s="15">
        <v>337</v>
      </c>
      <c r="B25" s="16" t="s">
        <v>263</v>
      </c>
      <c r="C25" s="18">
        <v>699</v>
      </c>
      <c r="D25" s="13">
        <f>IF(TRIM(C25)="-", "-", C25*'ราคาต้นทุน (Asset)'!$B$8)</f>
        <v>349500</v>
      </c>
      <c r="E25" s="18">
        <v>737</v>
      </c>
      <c r="F25" s="13">
        <f>IF(TRIM(E25)="-", "-", E25*'ราคาต้นทุน (Asset)'!$B$9)</f>
        <v>147400</v>
      </c>
      <c r="G25" s="18">
        <v>135</v>
      </c>
      <c r="H25" s="13">
        <f>IF(TRIM(G25)="-", "-", G25*'ราคาต้นทุน (Asset)'!$B$11)</f>
        <v>67500</v>
      </c>
      <c r="I25" s="18">
        <v>26</v>
      </c>
      <c r="J25" s="13">
        <f>IF(TRIM(I25)="-", "-", I25*'ราคาต้นทุน (Asset)'!$B$19)</f>
        <v>130000</v>
      </c>
      <c r="K25" s="18">
        <v>16</v>
      </c>
      <c r="L25" s="13">
        <f>IF(TRIM(K25)="-", "-", K25*'ราคาต้นทุน (Asset)'!$B$24)</f>
        <v>640000</v>
      </c>
      <c r="M25" s="18" t="s">
        <v>475</v>
      </c>
      <c r="N25" s="13" t="str">
        <f>IF(TRIM(M25)="-", "-", M25*'ราคาต้นทุน (Asset)'!$B$25)</f>
        <v>-</v>
      </c>
      <c r="O25" s="18">
        <v>84</v>
      </c>
      <c r="P25" s="13">
        <f>IF(TRIM(O25)="-", "-", O25*'ราคาต้นทุน (Asset)'!$B$26)</f>
        <v>42000</v>
      </c>
      <c r="Q25" s="17">
        <v>8313</v>
      </c>
      <c r="R25" s="13">
        <f>IF(TRIM(Q25)="-", "-", Q25*'ราคาต้นทุน (Asset)'!$B$28)</f>
        <v>831300</v>
      </c>
      <c r="S25" s="18">
        <v>157</v>
      </c>
      <c r="T25" s="13">
        <f>IF(TRIM(S25)="-", "-", S25*'ราคาต้นทุน (Asset)'!$B$30)</f>
        <v>471000</v>
      </c>
      <c r="U25" s="13">
        <f t="shared" si="1"/>
        <v>2678700</v>
      </c>
    </row>
    <row r="26" spans="1:21" ht="24">
      <c r="A26" s="15">
        <v>338</v>
      </c>
      <c r="B26" s="16" t="s">
        <v>226</v>
      </c>
      <c r="C26" s="17">
        <v>1126</v>
      </c>
      <c r="D26" s="13">
        <f>IF(TRIM(C26)="-", "-", C26*'ราคาต้นทุน (Asset)'!$B$8)</f>
        <v>563000</v>
      </c>
      <c r="E26" s="17">
        <v>3051</v>
      </c>
      <c r="F26" s="13">
        <f>IF(TRIM(E26)="-", "-", E26*'ราคาต้นทุน (Asset)'!$B$9)</f>
        <v>610200</v>
      </c>
      <c r="G26" s="18">
        <v>94</v>
      </c>
      <c r="H26" s="13">
        <f>IF(TRIM(G26)="-", "-", G26*'ราคาต้นทุน (Asset)'!$B$11)</f>
        <v>47000</v>
      </c>
      <c r="I26" s="18">
        <v>19</v>
      </c>
      <c r="J26" s="13">
        <f>IF(TRIM(I26)="-", "-", I26*'ราคาต้นทุน (Asset)'!$B$19)</f>
        <v>95000</v>
      </c>
      <c r="K26" s="18">
        <v>26</v>
      </c>
      <c r="L26" s="13">
        <f>IF(TRIM(K26)="-", "-", K26*'ราคาต้นทุน (Asset)'!$B$24)</f>
        <v>1040000</v>
      </c>
      <c r="M26" s="18" t="s">
        <v>475</v>
      </c>
      <c r="N26" s="13" t="str">
        <f>IF(TRIM(M26)="-", "-", M26*'ราคาต้นทุน (Asset)'!$B$25)</f>
        <v>-</v>
      </c>
      <c r="O26" s="18">
        <v>234</v>
      </c>
      <c r="P26" s="13">
        <f>IF(TRIM(O26)="-", "-", O26*'ราคาต้นทุน (Asset)'!$B$26)</f>
        <v>117000</v>
      </c>
      <c r="Q26" s="17">
        <v>9906</v>
      </c>
      <c r="R26" s="13">
        <f>IF(TRIM(Q26)="-", "-", Q26*'ราคาต้นทุน (Asset)'!$B$28)</f>
        <v>990600</v>
      </c>
      <c r="S26" s="18">
        <v>111</v>
      </c>
      <c r="T26" s="13">
        <f>IF(TRIM(S26)="-", "-", S26*'ราคาต้นทุน (Asset)'!$B$30)</f>
        <v>333000</v>
      </c>
      <c r="U26" s="13">
        <f t="shared" si="1"/>
        <v>3795800</v>
      </c>
    </row>
    <row r="27" spans="1:21" ht="24">
      <c r="A27" s="15">
        <v>411</v>
      </c>
      <c r="B27" s="16" t="s">
        <v>194</v>
      </c>
      <c r="C27" s="18">
        <v>245</v>
      </c>
      <c r="D27" s="13">
        <f>IF(TRIM(C27)="-", "-", C27*'ราคาต้นทุน (Asset)'!$B$8)</f>
        <v>122500</v>
      </c>
      <c r="E27" s="17">
        <v>8973</v>
      </c>
      <c r="F27" s="13">
        <f>IF(TRIM(E27)="-", "-", E27*'ราคาต้นทุน (Asset)'!$B$9)</f>
        <v>1794600</v>
      </c>
      <c r="G27" s="18">
        <v>17</v>
      </c>
      <c r="H27" s="13">
        <f>IF(TRIM(G27)="-", "-", G27*'ราคาต้นทุน (Asset)'!$B$11)</f>
        <v>8500</v>
      </c>
      <c r="I27" s="18">
        <v>137</v>
      </c>
      <c r="J27" s="13">
        <f>IF(TRIM(I27)="-", "-", I27*'ราคาต้นทุน (Asset)'!$B$19)</f>
        <v>685000</v>
      </c>
      <c r="K27" s="18">
        <v>24</v>
      </c>
      <c r="L27" s="13">
        <f>IF(TRIM(K27)="-", "-", K27*'ราคาต้นทุน (Asset)'!$B$24)</f>
        <v>960000</v>
      </c>
      <c r="M27" s="18">
        <v>3</v>
      </c>
      <c r="N27" s="13">
        <f>IF(TRIM(M27)="-", "-", M27*'ราคาต้นทุน (Asset)'!$B$25)</f>
        <v>1500</v>
      </c>
      <c r="O27" s="18">
        <v>129</v>
      </c>
      <c r="P27" s="13">
        <f>IF(TRIM(O27)="-", "-", O27*'ราคาต้นทุน (Asset)'!$B$26)</f>
        <v>64500</v>
      </c>
      <c r="Q27" s="17">
        <v>8190</v>
      </c>
      <c r="R27" s="13">
        <f>IF(TRIM(Q27)="-", "-", Q27*'ราคาต้นทุน (Asset)'!$B$28)</f>
        <v>819000</v>
      </c>
      <c r="S27" s="18">
        <v>402</v>
      </c>
      <c r="T27" s="13">
        <f>IF(TRIM(S27)="-", "-", S27*'ราคาต้นทุน (Asset)'!$B$30)</f>
        <v>1206000</v>
      </c>
      <c r="U27" s="13">
        <f t="shared" si="1"/>
        <v>5661600</v>
      </c>
    </row>
    <row r="28" spans="1:21" ht="24">
      <c r="A28" s="15">
        <v>413</v>
      </c>
      <c r="B28" s="16" t="s">
        <v>179</v>
      </c>
      <c r="C28" s="18">
        <v>886</v>
      </c>
      <c r="D28" s="13">
        <f>IF(TRIM(C28)="-", "-", C28*'ราคาต้นทุน (Asset)'!$B$8)</f>
        <v>443000</v>
      </c>
      <c r="E28" s="18">
        <v>200</v>
      </c>
      <c r="F28" s="13">
        <f>IF(TRIM(E28)="-", "-", E28*'ราคาต้นทุน (Asset)'!$B$9)</f>
        <v>40000</v>
      </c>
      <c r="G28" s="18">
        <v>35</v>
      </c>
      <c r="H28" s="13">
        <f>IF(TRIM(G28)="-", "-", G28*'ราคาต้นทุน (Asset)'!$B$11)</f>
        <v>17500</v>
      </c>
      <c r="I28" s="18">
        <v>49</v>
      </c>
      <c r="J28" s="13">
        <f>IF(TRIM(I28)="-", "-", I28*'ราคาต้นทุน (Asset)'!$B$19)</f>
        <v>245000</v>
      </c>
      <c r="K28" s="18">
        <v>28</v>
      </c>
      <c r="L28" s="13">
        <f>IF(TRIM(K28)="-", "-", K28*'ราคาต้นทุน (Asset)'!$B$24)</f>
        <v>1120000</v>
      </c>
      <c r="M28" s="18" t="s">
        <v>475</v>
      </c>
      <c r="N28" s="13" t="str">
        <f>IF(TRIM(M28)="-", "-", M28*'ราคาต้นทุน (Asset)'!$B$25)</f>
        <v>-</v>
      </c>
      <c r="O28" s="18">
        <v>256</v>
      </c>
      <c r="P28" s="13">
        <f>IF(TRIM(O28)="-", "-", O28*'ราคาต้นทุน (Asset)'!$B$26)</f>
        <v>128000</v>
      </c>
      <c r="Q28" s="17">
        <v>7579</v>
      </c>
      <c r="R28" s="13">
        <f>IF(TRIM(Q28)="-", "-", Q28*'ราคาต้นทุน (Asset)'!$B$28)</f>
        <v>757900</v>
      </c>
      <c r="S28" s="18">
        <v>304</v>
      </c>
      <c r="T28" s="13">
        <f>IF(TRIM(S28)="-", "-", S28*'ราคาต้นทุน (Asset)'!$B$30)</f>
        <v>912000</v>
      </c>
      <c r="U28" s="13">
        <f t="shared" si="1"/>
        <v>3663400</v>
      </c>
    </row>
    <row r="29" spans="1:21" ht="24">
      <c r="A29" s="15">
        <v>414</v>
      </c>
      <c r="B29" s="16" t="s">
        <v>261</v>
      </c>
      <c r="C29" s="17">
        <v>1005</v>
      </c>
      <c r="D29" s="13">
        <f>IF(TRIM(C29)="-", "-", C29*'ราคาต้นทุน (Asset)'!$B$8)</f>
        <v>502500</v>
      </c>
      <c r="E29" s="17">
        <v>1868</v>
      </c>
      <c r="F29" s="13">
        <f>IF(TRIM(E29)="-", "-", E29*'ราคาต้นทุน (Asset)'!$B$9)</f>
        <v>373600</v>
      </c>
      <c r="G29" s="18">
        <v>29</v>
      </c>
      <c r="H29" s="13">
        <f>IF(TRIM(G29)="-", "-", G29*'ราคาต้นทุน (Asset)'!$B$11)</f>
        <v>14500</v>
      </c>
      <c r="I29" s="18">
        <v>32</v>
      </c>
      <c r="J29" s="13">
        <f>IF(TRIM(I29)="-", "-", I29*'ราคาต้นทุน (Asset)'!$B$19)</f>
        <v>160000</v>
      </c>
      <c r="K29" s="18">
        <v>27</v>
      </c>
      <c r="L29" s="13">
        <f>IF(TRIM(K29)="-", "-", K29*'ราคาต้นทุน (Asset)'!$B$24)</f>
        <v>1080000</v>
      </c>
      <c r="M29" s="18">
        <v>2</v>
      </c>
      <c r="N29" s="13">
        <f>IF(TRIM(M29)="-", "-", M29*'ราคาต้นทุน (Asset)'!$B$25)</f>
        <v>1000</v>
      </c>
      <c r="O29" s="18">
        <v>93</v>
      </c>
      <c r="P29" s="13">
        <f>IF(TRIM(O29)="-", "-", O29*'ราคาต้นทุน (Asset)'!$B$26)</f>
        <v>46500</v>
      </c>
      <c r="Q29" s="17">
        <v>8425</v>
      </c>
      <c r="R29" s="13">
        <f>IF(TRIM(Q29)="-", "-", Q29*'ราคาต้นทุน (Asset)'!$B$28)</f>
        <v>842500</v>
      </c>
      <c r="S29" s="18">
        <v>198</v>
      </c>
      <c r="T29" s="13">
        <f>IF(TRIM(S29)="-", "-", S29*'ราคาต้นทุน (Asset)'!$B$30)</f>
        <v>594000</v>
      </c>
      <c r="U29" s="13">
        <f t="shared" si="1"/>
        <v>3614600</v>
      </c>
    </row>
    <row r="30" spans="1:21" ht="24">
      <c r="A30" s="15">
        <v>415</v>
      </c>
      <c r="B30" s="16" t="s">
        <v>210</v>
      </c>
      <c r="C30" s="18">
        <v>300</v>
      </c>
      <c r="D30" s="13">
        <f>IF(TRIM(C30)="-", "-", C30*'ราคาต้นทุน (Asset)'!$B$8)</f>
        <v>150000</v>
      </c>
      <c r="E30" s="17">
        <v>11190</v>
      </c>
      <c r="F30" s="13">
        <f>IF(TRIM(E30)="-", "-", E30*'ราคาต้นทุน (Asset)'!$B$9)</f>
        <v>2238000</v>
      </c>
      <c r="G30" s="18">
        <v>102</v>
      </c>
      <c r="H30" s="13">
        <f>IF(TRIM(G30)="-", "-", G30*'ราคาต้นทุน (Asset)'!$B$11)</f>
        <v>51000</v>
      </c>
      <c r="I30" s="18">
        <v>101</v>
      </c>
      <c r="J30" s="13">
        <f>IF(TRIM(I30)="-", "-", I30*'ราคาต้นทุน (Asset)'!$B$19)</f>
        <v>505000</v>
      </c>
      <c r="K30" s="18">
        <v>19</v>
      </c>
      <c r="L30" s="13">
        <f>IF(TRIM(K30)="-", "-", K30*'ราคาต้นทุน (Asset)'!$B$24)</f>
        <v>760000</v>
      </c>
      <c r="M30" s="18">
        <v>1</v>
      </c>
      <c r="N30" s="13">
        <f>IF(TRIM(M30)="-", "-", M30*'ราคาต้นทุน (Asset)'!$B$25)</f>
        <v>500</v>
      </c>
      <c r="O30" s="18">
        <v>79</v>
      </c>
      <c r="P30" s="13">
        <f>IF(TRIM(O30)="-", "-", O30*'ราคาต้นทุน (Asset)'!$B$26)</f>
        <v>39500</v>
      </c>
      <c r="Q30" s="17">
        <v>7083</v>
      </c>
      <c r="R30" s="13">
        <f>IF(TRIM(Q30)="-", "-", Q30*'ราคาต้นทุน (Asset)'!$B$28)</f>
        <v>708300</v>
      </c>
      <c r="S30" s="18">
        <v>228</v>
      </c>
      <c r="T30" s="13">
        <f>IF(TRIM(S30)="-", "-", S30*'ราคาต้นทุน (Asset)'!$B$30)</f>
        <v>684000</v>
      </c>
      <c r="U30" s="13">
        <f t="shared" si="1"/>
        <v>5136300</v>
      </c>
    </row>
    <row r="31" spans="1:21" ht="24">
      <c r="A31" s="15">
        <v>416</v>
      </c>
      <c r="B31" s="16" t="s">
        <v>195</v>
      </c>
      <c r="C31" s="18">
        <v>318</v>
      </c>
      <c r="D31" s="13">
        <f>IF(TRIM(C31)="-", "-", C31*'ราคาต้นทุน (Asset)'!$B$8)</f>
        <v>159000</v>
      </c>
      <c r="E31" s="17">
        <v>1955</v>
      </c>
      <c r="F31" s="13">
        <f>IF(TRIM(E31)="-", "-", E31*'ราคาต้นทุน (Asset)'!$B$9)</f>
        <v>391000</v>
      </c>
      <c r="G31" s="18">
        <v>30</v>
      </c>
      <c r="H31" s="13">
        <f>IF(TRIM(G31)="-", "-", G31*'ราคาต้นทุน (Asset)'!$B$11)</f>
        <v>15000</v>
      </c>
      <c r="I31" s="18">
        <v>97</v>
      </c>
      <c r="J31" s="13">
        <f>IF(TRIM(I31)="-", "-", I31*'ราคาต้นทุน (Asset)'!$B$19)</f>
        <v>485000</v>
      </c>
      <c r="K31" s="18">
        <v>27</v>
      </c>
      <c r="L31" s="13">
        <f>IF(TRIM(K31)="-", "-", K31*'ราคาต้นทุน (Asset)'!$B$24)</f>
        <v>1080000</v>
      </c>
      <c r="M31" s="18" t="s">
        <v>475</v>
      </c>
      <c r="N31" s="13" t="str">
        <f>IF(TRIM(M31)="-", "-", M31*'ราคาต้นทุน (Asset)'!$B$25)</f>
        <v>-</v>
      </c>
      <c r="O31" s="18">
        <v>73</v>
      </c>
      <c r="P31" s="13">
        <f>IF(TRIM(O31)="-", "-", O31*'ราคาต้นทุน (Asset)'!$B$26)</f>
        <v>36500</v>
      </c>
      <c r="Q31" s="17">
        <v>5932</v>
      </c>
      <c r="R31" s="13">
        <f>IF(TRIM(Q31)="-", "-", Q31*'ราคาต้นทุน (Asset)'!$B$28)</f>
        <v>593200</v>
      </c>
      <c r="S31" s="18">
        <v>276</v>
      </c>
      <c r="T31" s="13">
        <f>IF(TRIM(S31)="-", "-", S31*'ราคาต้นทุน (Asset)'!$B$30)</f>
        <v>828000</v>
      </c>
      <c r="U31" s="13">
        <f t="shared" si="1"/>
        <v>3587700</v>
      </c>
    </row>
    <row r="32" spans="1:21" ht="24">
      <c r="A32" s="15">
        <v>417</v>
      </c>
      <c r="B32" s="16" t="s">
        <v>176</v>
      </c>
      <c r="C32" s="18">
        <v>234</v>
      </c>
      <c r="D32" s="13">
        <f>IF(TRIM(C32)="-", "-", C32*'ราคาต้นทุน (Asset)'!$B$8)</f>
        <v>117000</v>
      </c>
      <c r="E32" s="17">
        <v>8123</v>
      </c>
      <c r="F32" s="13">
        <f>IF(TRIM(E32)="-", "-", E32*'ราคาต้นทุน (Asset)'!$B$9)</f>
        <v>1624600</v>
      </c>
      <c r="G32" s="18">
        <v>80</v>
      </c>
      <c r="H32" s="13">
        <f>IF(TRIM(G32)="-", "-", G32*'ราคาต้นทุน (Asset)'!$B$11)</f>
        <v>40000</v>
      </c>
      <c r="I32" s="18">
        <v>153</v>
      </c>
      <c r="J32" s="13">
        <f>IF(TRIM(I32)="-", "-", I32*'ราคาต้นทุน (Asset)'!$B$19)</f>
        <v>765000</v>
      </c>
      <c r="K32" s="18">
        <v>29</v>
      </c>
      <c r="L32" s="13">
        <f>IF(TRIM(K32)="-", "-", K32*'ราคาต้นทุน (Asset)'!$B$24)</f>
        <v>1160000</v>
      </c>
      <c r="M32" s="18" t="s">
        <v>475</v>
      </c>
      <c r="N32" s="13" t="str">
        <f>IF(TRIM(M32)="-", "-", M32*'ราคาต้นทุน (Asset)'!$B$25)</f>
        <v>-</v>
      </c>
      <c r="O32" s="18" t="s">
        <v>475</v>
      </c>
      <c r="P32" s="13" t="str">
        <f>IF(TRIM(O32)="-", "-", O32*'ราคาต้นทุน (Asset)'!$B$26)</f>
        <v>-</v>
      </c>
      <c r="Q32" s="17">
        <v>8158</v>
      </c>
      <c r="R32" s="13">
        <f>IF(TRIM(Q32)="-", "-", Q32*'ราคาต้นทุน (Asset)'!$B$28)</f>
        <v>815800</v>
      </c>
      <c r="S32" s="18">
        <v>254</v>
      </c>
      <c r="T32" s="13">
        <f>IF(TRIM(S32)="-", "-", S32*'ราคาต้นทุน (Asset)'!$B$30)</f>
        <v>762000</v>
      </c>
      <c r="U32" s="13">
        <f t="shared" si="1"/>
        <v>5284400</v>
      </c>
    </row>
    <row r="33" spans="1:21" ht="24">
      <c r="A33" s="15">
        <v>418</v>
      </c>
      <c r="B33" s="16" t="s">
        <v>191</v>
      </c>
      <c r="C33" s="18">
        <v>343</v>
      </c>
      <c r="D33" s="13">
        <f>IF(TRIM(C33)="-", "-", C33*'ราคาต้นทุน (Asset)'!$B$8)</f>
        <v>171500</v>
      </c>
      <c r="E33" s="17">
        <v>5012</v>
      </c>
      <c r="F33" s="13">
        <f>IF(TRIM(E33)="-", "-", E33*'ราคาต้นทุน (Asset)'!$B$9)</f>
        <v>1002400</v>
      </c>
      <c r="G33" s="18">
        <v>22</v>
      </c>
      <c r="H33" s="13">
        <f>IF(TRIM(G33)="-", "-", G33*'ราคาต้นทุน (Asset)'!$B$11)</f>
        <v>11000</v>
      </c>
      <c r="I33" s="18">
        <v>106</v>
      </c>
      <c r="J33" s="13">
        <f>IF(TRIM(I33)="-", "-", I33*'ราคาต้นทุน (Asset)'!$B$19)</f>
        <v>530000</v>
      </c>
      <c r="K33" s="18">
        <v>23</v>
      </c>
      <c r="L33" s="13">
        <f>IF(TRIM(K33)="-", "-", K33*'ราคาต้นทุน (Asset)'!$B$24)</f>
        <v>920000</v>
      </c>
      <c r="M33" s="18">
        <v>1</v>
      </c>
      <c r="N33" s="13">
        <f>IF(TRIM(M33)="-", "-", M33*'ราคาต้นทุน (Asset)'!$B$25)</f>
        <v>500</v>
      </c>
      <c r="O33" s="18">
        <v>82</v>
      </c>
      <c r="P33" s="13">
        <f>IF(TRIM(O33)="-", "-", O33*'ราคาต้นทุน (Asset)'!$B$26)</f>
        <v>41000</v>
      </c>
      <c r="Q33" s="17">
        <v>6904</v>
      </c>
      <c r="R33" s="13">
        <f>IF(TRIM(Q33)="-", "-", Q33*'ราคาต้นทุน (Asset)'!$B$28)</f>
        <v>690400</v>
      </c>
      <c r="S33" s="18">
        <v>419</v>
      </c>
      <c r="T33" s="13">
        <f>IF(TRIM(S33)="-", "-", S33*'ราคาต้นทุน (Asset)'!$B$30)</f>
        <v>1257000</v>
      </c>
      <c r="U33" s="13">
        <f t="shared" si="1"/>
        <v>4623800</v>
      </c>
    </row>
    <row r="34" spans="1:21" ht="24">
      <c r="A34" s="15">
        <v>419</v>
      </c>
      <c r="B34" s="16" t="s">
        <v>239</v>
      </c>
      <c r="C34" s="18">
        <v>40</v>
      </c>
      <c r="D34" s="13">
        <f>IF(TRIM(C34)="-", "-", C34*'ราคาต้นทุน (Asset)'!$B$8)</f>
        <v>20000</v>
      </c>
      <c r="E34" s="17">
        <v>4759</v>
      </c>
      <c r="F34" s="13">
        <f>IF(TRIM(E34)="-", "-", E34*'ราคาต้นทุน (Asset)'!$B$9)</f>
        <v>951800</v>
      </c>
      <c r="G34" s="18">
        <v>38</v>
      </c>
      <c r="H34" s="13">
        <f>IF(TRIM(G34)="-", "-", G34*'ราคาต้นทุน (Asset)'!$B$11)</f>
        <v>19000</v>
      </c>
      <c r="I34" s="18">
        <v>75</v>
      </c>
      <c r="J34" s="13">
        <f>IF(TRIM(I34)="-", "-", I34*'ราคาต้นทุน (Asset)'!$B$19)</f>
        <v>375000</v>
      </c>
      <c r="K34" s="18">
        <v>6</v>
      </c>
      <c r="L34" s="13">
        <f>IF(TRIM(K34)="-", "-", K34*'ราคาต้นทุน (Asset)'!$B$24)</f>
        <v>240000</v>
      </c>
      <c r="M34" s="18">
        <v>2</v>
      </c>
      <c r="N34" s="13">
        <f>IF(TRIM(M34)="-", "-", M34*'ราคาต้นทุน (Asset)'!$B$25)</f>
        <v>1000</v>
      </c>
      <c r="O34" s="18">
        <v>118</v>
      </c>
      <c r="P34" s="13">
        <f>IF(TRIM(O34)="-", "-", O34*'ราคาต้นทุน (Asset)'!$B$26)</f>
        <v>59000</v>
      </c>
      <c r="Q34" s="17">
        <v>4865</v>
      </c>
      <c r="R34" s="13">
        <f>IF(TRIM(Q34)="-", "-", Q34*'ราคาต้นทุน (Asset)'!$B$28)</f>
        <v>486500</v>
      </c>
      <c r="S34" s="18">
        <v>157</v>
      </c>
      <c r="T34" s="13">
        <f>IF(TRIM(S34)="-", "-", S34*'ราคาต้นทุน (Asset)'!$B$30)</f>
        <v>471000</v>
      </c>
      <c r="U34" s="13">
        <f t="shared" si="1"/>
        <v>2623300</v>
      </c>
    </row>
    <row r="35" spans="1:21" ht="24">
      <c r="A35" s="15">
        <v>421</v>
      </c>
      <c r="B35" s="16" t="s">
        <v>174</v>
      </c>
      <c r="C35" s="18">
        <v>498</v>
      </c>
      <c r="D35" s="13">
        <f>IF(TRIM(C35)="-", "-", C35*'ราคาต้นทุน (Asset)'!$B$8)</f>
        <v>249000</v>
      </c>
      <c r="E35" s="17">
        <v>1339</v>
      </c>
      <c r="F35" s="13">
        <f>IF(TRIM(E35)="-", "-", E35*'ราคาต้นทุน (Asset)'!$B$9)</f>
        <v>267800</v>
      </c>
      <c r="G35" s="18">
        <v>57</v>
      </c>
      <c r="H35" s="13">
        <f>IF(TRIM(G35)="-", "-", G35*'ราคาต้นทุน (Asset)'!$B$11)</f>
        <v>28500</v>
      </c>
      <c r="I35" s="18">
        <v>26</v>
      </c>
      <c r="J35" s="13">
        <f>IF(TRIM(I35)="-", "-", I35*'ราคาต้นทุน (Asset)'!$B$19)</f>
        <v>130000</v>
      </c>
      <c r="K35" s="18">
        <v>30</v>
      </c>
      <c r="L35" s="13">
        <f>IF(TRIM(K35)="-", "-", K35*'ราคาต้นทุน (Asset)'!$B$24)</f>
        <v>1200000</v>
      </c>
      <c r="M35" s="18" t="s">
        <v>475</v>
      </c>
      <c r="N35" s="13" t="str">
        <f>IF(TRIM(M35)="-", "-", M35*'ราคาต้นทุน (Asset)'!$B$25)</f>
        <v>-</v>
      </c>
      <c r="O35" s="18" t="s">
        <v>475</v>
      </c>
      <c r="P35" s="13" t="str">
        <f>IF(TRIM(O35)="-", "-", O35*'ราคาต้นทุน (Asset)'!$B$26)</f>
        <v>-</v>
      </c>
      <c r="Q35" s="17">
        <v>10146</v>
      </c>
      <c r="R35" s="13">
        <f>IF(TRIM(Q35)="-", "-", Q35*'ราคาต้นทุน (Asset)'!$B$28)</f>
        <v>1014600</v>
      </c>
      <c r="S35" s="18">
        <v>366</v>
      </c>
      <c r="T35" s="13">
        <f>IF(TRIM(S35)="-", "-", S35*'ราคาต้นทุน (Asset)'!$B$30)</f>
        <v>1098000</v>
      </c>
      <c r="U35" s="13">
        <f t="shared" si="1"/>
        <v>3987900</v>
      </c>
    </row>
    <row r="36" spans="1:21" ht="24">
      <c r="A36" s="15">
        <v>422</v>
      </c>
      <c r="B36" s="16" t="s">
        <v>197</v>
      </c>
      <c r="C36" s="18">
        <v>828</v>
      </c>
      <c r="D36" s="13">
        <f>IF(TRIM(C36)="-", "-", C36*'ราคาต้นทุน (Asset)'!$B$8)</f>
        <v>414000</v>
      </c>
      <c r="E36" s="17">
        <v>3176</v>
      </c>
      <c r="F36" s="13">
        <f>IF(TRIM(E36)="-", "-", E36*'ราคาต้นทุน (Asset)'!$B$9)</f>
        <v>635200</v>
      </c>
      <c r="G36" s="18">
        <v>36</v>
      </c>
      <c r="H36" s="13">
        <f>IF(TRIM(G36)="-", "-", G36*'ราคาต้นทุน (Asset)'!$B$11)</f>
        <v>18000</v>
      </c>
      <c r="I36" s="18">
        <v>36</v>
      </c>
      <c r="J36" s="13">
        <f>IF(TRIM(I36)="-", "-", I36*'ราคาต้นทุน (Asset)'!$B$19)</f>
        <v>180000</v>
      </c>
      <c r="K36" s="18">
        <v>34</v>
      </c>
      <c r="L36" s="13">
        <f>IF(TRIM(K36)="-", "-", K36*'ราคาต้นทุน (Asset)'!$B$24)</f>
        <v>1360000</v>
      </c>
      <c r="M36" s="18" t="s">
        <v>475</v>
      </c>
      <c r="N36" s="13" t="str">
        <f>IF(TRIM(M36)="-", "-", M36*'ราคาต้นทุน (Asset)'!$B$25)</f>
        <v>-</v>
      </c>
      <c r="O36" s="18">
        <v>241</v>
      </c>
      <c r="P36" s="13">
        <f>IF(TRIM(O36)="-", "-", O36*'ราคาต้นทุน (Asset)'!$B$26)</f>
        <v>120500</v>
      </c>
      <c r="Q36" s="17">
        <v>12411</v>
      </c>
      <c r="R36" s="13">
        <f>IF(TRIM(Q36)="-", "-", Q36*'ราคาต้นทุน (Asset)'!$B$28)</f>
        <v>1241100</v>
      </c>
      <c r="S36" s="18">
        <v>369</v>
      </c>
      <c r="T36" s="13">
        <f>IF(TRIM(S36)="-", "-", S36*'ราคาต้นทุน (Asset)'!$B$30)</f>
        <v>1107000</v>
      </c>
      <c r="U36" s="13">
        <f t="shared" ref="U36:U67" si="2">SUM(D36,F36,H36,J36,L36,N36,P36,R36,T36)</f>
        <v>5075800</v>
      </c>
    </row>
    <row r="37" spans="1:21" ht="24">
      <c r="A37" s="15">
        <v>423</v>
      </c>
      <c r="B37" s="16" t="s">
        <v>217</v>
      </c>
      <c r="C37" s="17">
        <v>1035</v>
      </c>
      <c r="D37" s="13">
        <f>IF(TRIM(C37)="-", "-", C37*'ราคาต้นทุน (Asset)'!$B$8)</f>
        <v>517500</v>
      </c>
      <c r="E37" s="17">
        <v>2811</v>
      </c>
      <c r="F37" s="13">
        <f>IF(TRIM(E37)="-", "-", E37*'ราคาต้นทุน (Asset)'!$B$9)</f>
        <v>562200</v>
      </c>
      <c r="G37" s="18">
        <v>75</v>
      </c>
      <c r="H37" s="13">
        <f>IF(TRIM(G37)="-", "-", G37*'ราคาต้นทุน (Asset)'!$B$11)</f>
        <v>37500</v>
      </c>
      <c r="I37" s="18">
        <v>15</v>
      </c>
      <c r="J37" s="13">
        <f>IF(TRIM(I37)="-", "-", I37*'ราคาต้นทุน (Asset)'!$B$19)</f>
        <v>75000</v>
      </c>
      <c r="K37" s="18">
        <v>28</v>
      </c>
      <c r="L37" s="13">
        <f>IF(TRIM(K37)="-", "-", K37*'ราคาต้นทุน (Asset)'!$B$24)</f>
        <v>1120000</v>
      </c>
      <c r="M37" s="18" t="s">
        <v>475</v>
      </c>
      <c r="N37" s="13" t="str">
        <f>IF(TRIM(M37)="-", "-", M37*'ราคาต้นทุน (Asset)'!$B$25)</f>
        <v>-</v>
      </c>
      <c r="O37" s="18" t="s">
        <v>475</v>
      </c>
      <c r="P37" s="13" t="str">
        <f>IF(TRIM(O37)="-", "-", O37*'ราคาต้นทุน (Asset)'!$B$26)</f>
        <v>-</v>
      </c>
      <c r="Q37" s="17">
        <v>11772</v>
      </c>
      <c r="R37" s="13">
        <f>IF(TRIM(Q37)="-", "-", Q37*'ราคาต้นทุน (Asset)'!$B$28)</f>
        <v>1177200</v>
      </c>
      <c r="S37" s="18">
        <v>156</v>
      </c>
      <c r="T37" s="13">
        <f>IF(TRIM(S37)="-", "-", S37*'ราคาต้นทุน (Asset)'!$B$30)</f>
        <v>468000</v>
      </c>
      <c r="U37" s="13">
        <f t="shared" si="2"/>
        <v>3957400</v>
      </c>
    </row>
    <row r="38" spans="1:21" ht="24">
      <c r="A38" s="15">
        <v>425</v>
      </c>
      <c r="B38" s="16" t="s">
        <v>248</v>
      </c>
      <c r="C38" s="17">
        <v>1492</v>
      </c>
      <c r="D38" s="13">
        <f>IF(TRIM(C38)="-", "-", C38*'ราคาต้นทุน (Asset)'!$B$8)</f>
        <v>746000</v>
      </c>
      <c r="E38" s="18">
        <v>215</v>
      </c>
      <c r="F38" s="13">
        <f>IF(TRIM(E38)="-", "-", E38*'ราคาต้นทุน (Asset)'!$B$9)</f>
        <v>43000</v>
      </c>
      <c r="G38" s="18">
        <v>44</v>
      </c>
      <c r="H38" s="13">
        <f>IF(TRIM(G38)="-", "-", G38*'ราคาต้นทุน (Asset)'!$B$11)</f>
        <v>22000</v>
      </c>
      <c r="I38" s="18">
        <v>9</v>
      </c>
      <c r="J38" s="13">
        <f>IF(TRIM(I38)="-", "-", I38*'ราคาต้นทุน (Asset)'!$B$19)</f>
        <v>45000</v>
      </c>
      <c r="K38" s="18">
        <v>12</v>
      </c>
      <c r="L38" s="13">
        <f>IF(TRIM(K38)="-", "-", K38*'ราคาต้นทุน (Asset)'!$B$24)</f>
        <v>480000</v>
      </c>
      <c r="M38" s="18" t="s">
        <v>475</v>
      </c>
      <c r="N38" s="13" t="str">
        <f>IF(TRIM(M38)="-", "-", M38*'ราคาต้นทุน (Asset)'!$B$25)</f>
        <v>-</v>
      </c>
      <c r="O38" s="18">
        <v>114</v>
      </c>
      <c r="P38" s="13">
        <f>IF(TRIM(O38)="-", "-", O38*'ราคาต้นทุน (Asset)'!$B$26)</f>
        <v>57000</v>
      </c>
      <c r="Q38" s="17">
        <v>8345</v>
      </c>
      <c r="R38" s="13">
        <f>IF(TRIM(Q38)="-", "-", Q38*'ราคาต้นทุน (Asset)'!$B$28)</f>
        <v>834500</v>
      </c>
      <c r="S38" s="18">
        <v>190</v>
      </c>
      <c r="T38" s="13">
        <f>IF(TRIM(S38)="-", "-", S38*'ราคาต้นทุน (Asset)'!$B$30)</f>
        <v>570000</v>
      </c>
      <c r="U38" s="13">
        <f t="shared" si="2"/>
        <v>2797500</v>
      </c>
    </row>
    <row r="39" spans="1:21" ht="24">
      <c r="A39" s="15">
        <v>426</v>
      </c>
      <c r="B39" s="16" t="s">
        <v>183</v>
      </c>
      <c r="C39" s="18">
        <v>606</v>
      </c>
      <c r="D39" s="13">
        <f>IF(TRIM(C39)="-", "-", C39*'ราคาต้นทุน (Asset)'!$B$8)</f>
        <v>303000</v>
      </c>
      <c r="E39" s="17">
        <v>4073</v>
      </c>
      <c r="F39" s="13">
        <f>IF(TRIM(E39)="-", "-", E39*'ราคาต้นทุน (Asset)'!$B$9)</f>
        <v>814600</v>
      </c>
      <c r="G39" s="18">
        <v>44</v>
      </c>
      <c r="H39" s="13">
        <f>IF(TRIM(G39)="-", "-", G39*'ราคาต้นทุน (Asset)'!$B$11)</f>
        <v>22000</v>
      </c>
      <c r="I39" s="18">
        <v>34</v>
      </c>
      <c r="J39" s="13">
        <f>IF(TRIM(I39)="-", "-", I39*'ราคาต้นทุน (Asset)'!$B$19)</f>
        <v>170000</v>
      </c>
      <c r="K39" s="18">
        <v>63</v>
      </c>
      <c r="L39" s="13">
        <f>IF(TRIM(K39)="-", "-", K39*'ราคาต้นทุน (Asset)'!$B$24)</f>
        <v>2520000</v>
      </c>
      <c r="M39" s="18" t="s">
        <v>475</v>
      </c>
      <c r="N39" s="13" t="str">
        <f>IF(TRIM(M39)="-", "-", M39*'ราคาต้นทุน (Asset)'!$B$25)</f>
        <v>-</v>
      </c>
      <c r="O39" s="18">
        <v>2</v>
      </c>
      <c r="P39" s="13">
        <f>IF(TRIM(O39)="-", "-", O39*'ราคาต้นทุน (Asset)'!$B$26)</f>
        <v>1000</v>
      </c>
      <c r="Q39" s="17">
        <v>13827</v>
      </c>
      <c r="R39" s="13">
        <f>IF(TRIM(Q39)="-", "-", Q39*'ราคาต้นทุน (Asset)'!$B$28)</f>
        <v>1382700</v>
      </c>
      <c r="S39" s="18">
        <v>140</v>
      </c>
      <c r="T39" s="13">
        <f>IF(TRIM(S39)="-", "-", S39*'ราคาต้นทุน (Asset)'!$B$30)</f>
        <v>420000</v>
      </c>
      <c r="U39" s="13">
        <f t="shared" si="2"/>
        <v>5633300</v>
      </c>
    </row>
    <row r="40" spans="1:21" ht="24">
      <c r="A40" s="15">
        <v>428</v>
      </c>
      <c r="B40" s="16" t="s">
        <v>178</v>
      </c>
      <c r="C40" s="17">
        <v>1011</v>
      </c>
      <c r="D40" s="13">
        <f>IF(TRIM(C40)="-", "-", C40*'ราคาต้นทุน (Asset)'!$B$8)</f>
        <v>505500</v>
      </c>
      <c r="E40" s="17">
        <v>8778</v>
      </c>
      <c r="F40" s="13">
        <f>IF(TRIM(E40)="-", "-", E40*'ราคาต้นทุน (Asset)'!$B$9)</f>
        <v>1755600</v>
      </c>
      <c r="G40" s="18">
        <v>19</v>
      </c>
      <c r="H40" s="13">
        <f>IF(TRIM(G40)="-", "-", G40*'ราคาต้นทุน (Asset)'!$B$11)</f>
        <v>9500</v>
      </c>
      <c r="I40" s="18">
        <v>57</v>
      </c>
      <c r="J40" s="13">
        <f>IF(TRIM(I40)="-", "-", I40*'ราคาต้นทุน (Asset)'!$B$19)</f>
        <v>285000</v>
      </c>
      <c r="K40" s="18">
        <v>49</v>
      </c>
      <c r="L40" s="13">
        <f>IF(TRIM(K40)="-", "-", K40*'ราคาต้นทุน (Asset)'!$B$24)</f>
        <v>1960000</v>
      </c>
      <c r="M40" s="18">
        <v>3</v>
      </c>
      <c r="N40" s="13">
        <f>IF(TRIM(M40)="-", "-", M40*'ราคาต้นทุน (Asset)'!$B$25)</f>
        <v>1500</v>
      </c>
      <c r="O40" s="18">
        <v>122</v>
      </c>
      <c r="P40" s="13">
        <f>IF(TRIM(O40)="-", "-", O40*'ราคาต้นทุน (Asset)'!$B$26)</f>
        <v>61000</v>
      </c>
      <c r="Q40" s="17">
        <v>13525</v>
      </c>
      <c r="R40" s="13">
        <f>IF(TRIM(Q40)="-", "-", Q40*'ราคาต้นทุน (Asset)'!$B$28)</f>
        <v>1352500</v>
      </c>
      <c r="S40" s="18">
        <v>291</v>
      </c>
      <c r="T40" s="13">
        <f>IF(TRIM(S40)="-", "-", S40*'ราคาต้นทุน (Asset)'!$B$30)</f>
        <v>873000</v>
      </c>
      <c r="U40" s="13">
        <f t="shared" si="2"/>
        <v>6803600</v>
      </c>
    </row>
    <row r="41" spans="1:21" ht="24">
      <c r="A41" s="15">
        <v>431</v>
      </c>
      <c r="B41" s="16" t="s">
        <v>198</v>
      </c>
      <c r="C41" s="17">
        <v>1105</v>
      </c>
      <c r="D41" s="13">
        <f>IF(TRIM(C41)="-", "-", C41*'ราคาต้นทุน (Asset)'!$B$8)</f>
        <v>552500</v>
      </c>
      <c r="E41" s="17">
        <v>1771</v>
      </c>
      <c r="F41" s="13">
        <f>IF(TRIM(E41)="-", "-", E41*'ราคาต้นทุน (Asset)'!$B$9)</f>
        <v>354200</v>
      </c>
      <c r="G41" s="18">
        <v>45</v>
      </c>
      <c r="H41" s="13">
        <f>IF(TRIM(G41)="-", "-", G41*'ราคาต้นทุน (Asset)'!$B$11)</f>
        <v>22500</v>
      </c>
      <c r="I41" s="18">
        <v>21</v>
      </c>
      <c r="J41" s="13">
        <f>IF(TRIM(I41)="-", "-", I41*'ราคาต้นทุน (Asset)'!$B$19)</f>
        <v>105000</v>
      </c>
      <c r="K41" s="18">
        <v>35</v>
      </c>
      <c r="L41" s="13">
        <f>IF(TRIM(K41)="-", "-", K41*'ราคาต้นทุน (Asset)'!$B$24)</f>
        <v>1400000</v>
      </c>
      <c r="M41" s="18" t="s">
        <v>475</v>
      </c>
      <c r="N41" s="13" t="str">
        <f>IF(TRIM(M41)="-", "-", M41*'ราคาต้นทุน (Asset)'!$B$25)</f>
        <v>-</v>
      </c>
      <c r="O41" s="18">
        <v>67</v>
      </c>
      <c r="P41" s="13">
        <f>IF(TRIM(O41)="-", "-", O41*'ราคาต้นทุน (Asset)'!$B$26)</f>
        <v>33500</v>
      </c>
      <c r="Q41" s="17">
        <v>8931</v>
      </c>
      <c r="R41" s="13">
        <f>IF(TRIM(Q41)="-", "-", Q41*'ราคาต้นทุน (Asset)'!$B$28)</f>
        <v>893100</v>
      </c>
      <c r="S41" s="18">
        <v>440</v>
      </c>
      <c r="T41" s="13">
        <f>IF(TRIM(S41)="-", "-", S41*'ราคาต้นทุน (Asset)'!$B$30)</f>
        <v>1320000</v>
      </c>
      <c r="U41" s="13">
        <f t="shared" si="2"/>
        <v>4680800</v>
      </c>
    </row>
    <row r="42" spans="1:21" ht="24">
      <c r="A42" s="15">
        <v>432</v>
      </c>
      <c r="B42" s="16" t="s">
        <v>173</v>
      </c>
      <c r="C42" s="18">
        <v>780</v>
      </c>
      <c r="D42" s="13">
        <f>IF(TRIM(C42)="-", "-", C42*'ราคาต้นทุน (Asset)'!$B$8)</f>
        <v>390000</v>
      </c>
      <c r="E42" s="17">
        <v>1690</v>
      </c>
      <c r="F42" s="13">
        <f>IF(TRIM(E42)="-", "-", E42*'ราคาต้นทุน (Asset)'!$B$9)</f>
        <v>338000</v>
      </c>
      <c r="G42" s="18">
        <v>38</v>
      </c>
      <c r="H42" s="13">
        <f>IF(TRIM(G42)="-", "-", G42*'ราคาต้นทุน (Asset)'!$B$11)</f>
        <v>19000</v>
      </c>
      <c r="I42" s="18">
        <v>52</v>
      </c>
      <c r="J42" s="13">
        <f>IF(TRIM(I42)="-", "-", I42*'ราคาต้นทุน (Asset)'!$B$19)</f>
        <v>260000</v>
      </c>
      <c r="K42" s="18">
        <v>27</v>
      </c>
      <c r="L42" s="13">
        <f>IF(TRIM(K42)="-", "-", K42*'ราคาต้นทุน (Asset)'!$B$24)</f>
        <v>1080000</v>
      </c>
      <c r="M42" s="18" t="s">
        <v>475</v>
      </c>
      <c r="N42" s="13" t="str">
        <f>IF(TRIM(M42)="-", "-", M42*'ราคาต้นทุน (Asset)'!$B$25)</f>
        <v>-</v>
      </c>
      <c r="O42" s="18">
        <v>134</v>
      </c>
      <c r="P42" s="13">
        <f>IF(TRIM(O42)="-", "-", O42*'ราคาต้นทุน (Asset)'!$B$26)</f>
        <v>67000</v>
      </c>
      <c r="Q42" s="17">
        <v>6079</v>
      </c>
      <c r="R42" s="13">
        <f>IF(TRIM(Q42)="-", "-", Q42*'ราคาต้นทุน (Asset)'!$B$28)</f>
        <v>607900</v>
      </c>
      <c r="S42" s="18">
        <v>265</v>
      </c>
      <c r="T42" s="13">
        <f>IF(TRIM(S42)="-", "-", S42*'ราคาต้นทุน (Asset)'!$B$30)</f>
        <v>795000</v>
      </c>
      <c r="U42" s="13">
        <f t="shared" si="2"/>
        <v>3556900</v>
      </c>
    </row>
    <row r="43" spans="1:21" ht="24">
      <c r="A43" s="15">
        <v>433</v>
      </c>
      <c r="B43" s="16" t="s">
        <v>259</v>
      </c>
      <c r="C43" s="18">
        <v>620</v>
      </c>
      <c r="D43" s="13">
        <f>IF(TRIM(C43)="-", "-", C43*'ราคาต้นทุน (Asset)'!$B$8)</f>
        <v>310000</v>
      </c>
      <c r="E43" s="18">
        <v>575</v>
      </c>
      <c r="F43" s="13">
        <f>IF(TRIM(E43)="-", "-", E43*'ราคาต้นทุน (Asset)'!$B$9)</f>
        <v>115000</v>
      </c>
      <c r="G43" s="18">
        <v>22</v>
      </c>
      <c r="H43" s="13">
        <f>IF(TRIM(G43)="-", "-", G43*'ราคาต้นทุน (Asset)'!$B$11)</f>
        <v>11000</v>
      </c>
      <c r="I43" s="18">
        <v>10</v>
      </c>
      <c r="J43" s="13">
        <f>IF(TRIM(I43)="-", "-", I43*'ราคาต้นทุน (Asset)'!$B$19)</f>
        <v>50000</v>
      </c>
      <c r="K43" s="18">
        <v>23</v>
      </c>
      <c r="L43" s="13">
        <f>IF(TRIM(K43)="-", "-", K43*'ราคาต้นทุน (Asset)'!$B$24)</f>
        <v>920000</v>
      </c>
      <c r="M43" s="18" t="s">
        <v>475</v>
      </c>
      <c r="N43" s="13" t="str">
        <f>IF(TRIM(M43)="-", "-", M43*'ราคาต้นทุน (Asset)'!$B$25)</f>
        <v>-</v>
      </c>
      <c r="O43" s="18">
        <v>106</v>
      </c>
      <c r="P43" s="13">
        <f>IF(TRIM(O43)="-", "-", O43*'ราคาต้นทุน (Asset)'!$B$26)</f>
        <v>53000</v>
      </c>
      <c r="Q43" s="17">
        <v>9189</v>
      </c>
      <c r="R43" s="13">
        <f>IF(TRIM(Q43)="-", "-", Q43*'ราคาต้นทุน (Asset)'!$B$28)</f>
        <v>918900</v>
      </c>
      <c r="S43" s="18">
        <v>357</v>
      </c>
      <c r="T43" s="13">
        <f>IF(TRIM(S43)="-", "-", S43*'ราคาต้นทุน (Asset)'!$B$30)</f>
        <v>1071000</v>
      </c>
      <c r="U43" s="13">
        <f t="shared" si="2"/>
        <v>3448900</v>
      </c>
    </row>
    <row r="44" spans="1:21" ht="24">
      <c r="A44" s="15">
        <v>435</v>
      </c>
      <c r="B44" s="16" t="s">
        <v>287</v>
      </c>
      <c r="C44" s="17">
        <v>1035</v>
      </c>
      <c r="D44" s="13">
        <f>IF(TRIM(C44)="-", "-", C44*'ราคาต้นทุน (Asset)'!$B$8)</f>
        <v>517500</v>
      </c>
      <c r="E44" s="18" t="s">
        <v>475</v>
      </c>
      <c r="F44" s="13" t="str">
        <f>IF(TRIM(E44)="-", "-", E44*'ราคาต้นทุน (Asset)'!$B$9)</f>
        <v>-</v>
      </c>
      <c r="G44" s="18">
        <v>26</v>
      </c>
      <c r="H44" s="13">
        <f>IF(TRIM(G44)="-", "-", G44*'ราคาต้นทุน (Asset)'!$B$11)</f>
        <v>13000</v>
      </c>
      <c r="I44" s="18">
        <v>1</v>
      </c>
      <c r="J44" s="13">
        <f>IF(TRIM(I44)="-", "-", I44*'ราคาต้นทุน (Asset)'!$B$19)</f>
        <v>5000</v>
      </c>
      <c r="K44" s="18">
        <v>22</v>
      </c>
      <c r="L44" s="13">
        <f>IF(TRIM(K44)="-", "-", K44*'ราคาต้นทุน (Asset)'!$B$24)</f>
        <v>880000</v>
      </c>
      <c r="M44" s="18" t="s">
        <v>475</v>
      </c>
      <c r="N44" s="13" t="str">
        <f>IF(TRIM(M44)="-", "-", M44*'ราคาต้นทุน (Asset)'!$B$25)</f>
        <v>-</v>
      </c>
      <c r="O44" s="18">
        <v>194</v>
      </c>
      <c r="P44" s="13">
        <f>IF(TRIM(O44)="-", "-", O44*'ราคาต้นทุน (Asset)'!$B$26)</f>
        <v>97000</v>
      </c>
      <c r="Q44" s="17">
        <v>7801</v>
      </c>
      <c r="R44" s="13">
        <f>IF(TRIM(Q44)="-", "-", Q44*'ราคาต้นทุน (Asset)'!$B$28)</f>
        <v>780100</v>
      </c>
      <c r="S44" s="18">
        <v>240</v>
      </c>
      <c r="T44" s="13">
        <f>IF(TRIM(S44)="-", "-", S44*'ราคาต้นทุน (Asset)'!$B$30)</f>
        <v>720000</v>
      </c>
      <c r="U44" s="13">
        <f t="shared" si="2"/>
        <v>3012600</v>
      </c>
    </row>
    <row r="45" spans="1:21" ht="24">
      <c r="A45" s="15">
        <v>437</v>
      </c>
      <c r="B45" s="16" t="s">
        <v>193</v>
      </c>
      <c r="C45" s="17">
        <v>1407</v>
      </c>
      <c r="D45" s="13">
        <f>IF(TRIM(C45)="-", "-", C45*'ราคาต้นทุน (Asset)'!$B$8)</f>
        <v>703500</v>
      </c>
      <c r="E45" s="17">
        <v>1426</v>
      </c>
      <c r="F45" s="13">
        <f>IF(TRIM(E45)="-", "-", E45*'ราคาต้นทุน (Asset)'!$B$9)</f>
        <v>285200</v>
      </c>
      <c r="G45" s="18">
        <v>25</v>
      </c>
      <c r="H45" s="13">
        <f>IF(TRIM(G45)="-", "-", G45*'ราคาต้นทุน (Asset)'!$B$11)</f>
        <v>12500</v>
      </c>
      <c r="I45" s="18">
        <v>22</v>
      </c>
      <c r="J45" s="13">
        <f>IF(TRIM(I45)="-", "-", I45*'ราคาต้นทุน (Asset)'!$B$19)</f>
        <v>110000</v>
      </c>
      <c r="K45" s="18">
        <v>24</v>
      </c>
      <c r="L45" s="13">
        <f>IF(TRIM(K45)="-", "-", K45*'ราคาต้นทุน (Asset)'!$B$24)</f>
        <v>960000</v>
      </c>
      <c r="M45" s="18" t="s">
        <v>475</v>
      </c>
      <c r="N45" s="13" t="str">
        <f>IF(TRIM(M45)="-", "-", M45*'ราคาต้นทุน (Asset)'!$B$25)</f>
        <v>-</v>
      </c>
      <c r="O45" s="18">
        <v>75</v>
      </c>
      <c r="P45" s="13">
        <f>IF(TRIM(O45)="-", "-", O45*'ราคาต้นทุน (Asset)'!$B$26)</f>
        <v>37500</v>
      </c>
      <c r="Q45" s="17">
        <v>8979</v>
      </c>
      <c r="R45" s="13">
        <f>IF(TRIM(Q45)="-", "-", Q45*'ราคาต้นทุน (Asset)'!$B$28)</f>
        <v>897900</v>
      </c>
      <c r="S45" s="18">
        <v>329</v>
      </c>
      <c r="T45" s="13">
        <f>IF(TRIM(S45)="-", "-", S45*'ราคาต้นทุน (Asset)'!$B$30)</f>
        <v>987000</v>
      </c>
      <c r="U45" s="13">
        <f t="shared" si="2"/>
        <v>3993600</v>
      </c>
    </row>
    <row r="46" spans="1:21" ht="24">
      <c r="A46" s="15">
        <v>438</v>
      </c>
      <c r="B46" s="16" t="s">
        <v>284</v>
      </c>
      <c r="C46" s="17">
        <v>1402</v>
      </c>
      <c r="D46" s="13">
        <f>IF(TRIM(C46)="-", "-", C46*'ราคาต้นทุน (Asset)'!$B$8)</f>
        <v>701000</v>
      </c>
      <c r="E46" s="17">
        <v>1315</v>
      </c>
      <c r="F46" s="13">
        <f>IF(TRIM(E46)="-", "-", E46*'ราคาต้นทุน (Asset)'!$B$9)</f>
        <v>263000</v>
      </c>
      <c r="G46" s="18">
        <v>40</v>
      </c>
      <c r="H46" s="13">
        <f>IF(TRIM(G46)="-", "-", G46*'ราคาต้นทุน (Asset)'!$B$11)</f>
        <v>20000</v>
      </c>
      <c r="I46" s="18">
        <v>4</v>
      </c>
      <c r="J46" s="13">
        <f>IF(TRIM(I46)="-", "-", I46*'ราคาต้นทุน (Asset)'!$B$19)</f>
        <v>20000</v>
      </c>
      <c r="K46" s="18">
        <v>14</v>
      </c>
      <c r="L46" s="13">
        <f>IF(TRIM(K46)="-", "-", K46*'ราคาต้นทุน (Asset)'!$B$24)</f>
        <v>560000</v>
      </c>
      <c r="M46" s="18" t="s">
        <v>475</v>
      </c>
      <c r="N46" s="13" t="str">
        <f>IF(TRIM(M46)="-", "-", M46*'ราคาต้นทุน (Asset)'!$B$25)</f>
        <v>-</v>
      </c>
      <c r="O46" s="18">
        <v>346</v>
      </c>
      <c r="P46" s="13">
        <f>IF(TRIM(O46)="-", "-", O46*'ราคาต้นทุน (Asset)'!$B$26)</f>
        <v>173000</v>
      </c>
      <c r="Q46" s="17">
        <v>12888</v>
      </c>
      <c r="R46" s="13">
        <f>IF(TRIM(Q46)="-", "-", Q46*'ราคาต้นทุน (Asset)'!$B$28)</f>
        <v>1288800</v>
      </c>
      <c r="S46" s="18">
        <v>263</v>
      </c>
      <c r="T46" s="13">
        <f>IF(TRIM(S46)="-", "-", S46*'ราคาต้นทุน (Asset)'!$B$30)</f>
        <v>789000</v>
      </c>
      <c r="U46" s="13">
        <f t="shared" si="2"/>
        <v>3814800</v>
      </c>
    </row>
    <row r="47" spans="1:21" ht="24">
      <c r="A47" s="15">
        <v>441</v>
      </c>
      <c r="B47" s="16" t="s">
        <v>190</v>
      </c>
      <c r="C47" s="17">
        <v>1293</v>
      </c>
      <c r="D47" s="13">
        <f>IF(TRIM(C47)="-", "-", C47*'ราคาต้นทุน (Asset)'!$B$8)</f>
        <v>646500</v>
      </c>
      <c r="E47" s="17">
        <v>5260</v>
      </c>
      <c r="F47" s="13">
        <f>IF(TRIM(E47)="-", "-", E47*'ราคาต้นทุน (Asset)'!$B$9)</f>
        <v>1052000</v>
      </c>
      <c r="G47" s="18">
        <v>34</v>
      </c>
      <c r="H47" s="13">
        <f>IF(TRIM(G47)="-", "-", G47*'ราคาต้นทุน (Asset)'!$B$11)</f>
        <v>17000</v>
      </c>
      <c r="I47" s="18">
        <v>25</v>
      </c>
      <c r="J47" s="13">
        <f>IF(TRIM(I47)="-", "-", I47*'ราคาต้นทุน (Asset)'!$B$19)</f>
        <v>125000</v>
      </c>
      <c r="K47" s="18">
        <v>35</v>
      </c>
      <c r="L47" s="13">
        <f>IF(TRIM(K47)="-", "-", K47*'ราคาต้นทุน (Asset)'!$B$24)</f>
        <v>1400000</v>
      </c>
      <c r="M47" s="18" t="s">
        <v>475</v>
      </c>
      <c r="N47" s="13" t="str">
        <f>IF(TRIM(M47)="-", "-", M47*'ราคาต้นทุน (Asset)'!$B$25)</f>
        <v>-</v>
      </c>
      <c r="O47" s="18">
        <v>116</v>
      </c>
      <c r="P47" s="13">
        <f>IF(TRIM(O47)="-", "-", O47*'ราคาต้นทุน (Asset)'!$B$26)</f>
        <v>58000</v>
      </c>
      <c r="Q47" s="17">
        <v>11946</v>
      </c>
      <c r="R47" s="13">
        <f>IF(TRIM(Q47)="-", "-", Q47*'ราคาต้นทุน (Asset)'!$B$28)</f>
        <v>1194600</v>
      </c>
      <c r="S47" s="18">
        <v>340</v>
      </c>
      <c r="T47" s="13">
        <f>IF(TRIM(S47)="-", "-", S47*'ราคาต้นทุน (Asset)'!$B$30)</f>
        <v>1020000</v>
      </c>
      <c r="U47" s="13">
        <f t="shared" si="2"/>
        <v>5513100</v>
      </c>
    </row>
    <row r="48" spans="1:21" ht="24">
      <c r="A48" s="15">
        <v>444</v>
      </c>
      <c r="B48" s="16" t="s">
        <v>177</v>
      </c>
      <c r="C48" s="17">
        <v>1888</v>
      </c>
      <c r="D48" s="13">
        <f>IF(TRIM(C48)="-", "-", C48*'ราคาต้นทุน (Asset)'!$B$8)</f>
        <v>944000</v>
      </c>
      <c r="E48" s="17">
        <v>1171</v>
      </c>
      <c r="F48" s="13">
        <f>IF(TRIM(E48)="-", "-", E48*'ราคาต้นทุน (Asset)'!$B$9)</f>
        <v>234200</v>
      </c>
      <c r="G48" s="18">
        <v>33</v>
      </c>
      <c r="H48" s="13">
        <f>IF(TRIM(G48)="-", "-", G48*'ราคาต้นทุน (Asset)'!$B$11)</f>
        <v>16500</v>
      </c>
      <c r="I48" s="18">
        <v>8</v>
      </c>
      <c r="J48" s="13">
        <f>IF(TRIM(I48)="-", "-", I48*'ราคาต้นทุน (Asset)'!$B$19)</f>
        <v>40000</v>
      </c>
      <c r="K48" s="18">
        <v>35</v>
      </c>
      <c r="L48" s="13">
        <f>IF(TRIM(K48)="-", "-", K48*'ราคาต้นทุน (Asset)'!$B$24)</f>
        <v>1400000</v>
      </c>
      <c r="M48" s="18" t="s">
        <v>475</v>
      </c>
      <c r="N48" s="13" t="str">
        <f>IF(TRIM(M48)="-", "-", M48*'ราคาต้นทุน (Asset)'!$B$25)</f>
        <v>-</v>
      </c>
      <c r="O48" s="18">
        <v>282</v>
      </c>
      <c r="P48" s="13">
        <f>IF(TRIM(O48)="-", "-", O48*'ราคาต้นทุน (Asset)'!$B$26)</f>
        <v>141000</v>
      </c>
      <c r="Q48" s="17">
        <v>17132</v>
      </c>
      <c r="R48" s="13">
        <f>IF(TRIM(Q48)="-", "-", Q48*'ราคาต้นทุน (Asset)'!$B$28)</f>
        <v>1713200</v>
      </c>
      <c r="S48" s="18">
        <v>286</v>
      </c>
      <c r="T48" s="13">
        <f>IF(TRIM(S48)="-", "-", S48*'ราคาต้นทุน (Asset)'!$B$30)</f>
        <v>858000</v>
      </c>
      <c r="U48" s="13">
        <f t="shared" si="2"/>
        <v>5346900</v>
      </c>
    </row>
    <row r="49" spans="1:21" ht="24">
      <c r="A49" s="15">
        <v>445</v>
      </c>
      <c r="B49" s="16" t="s">
        <v>290</v>
      </c>
      <c r="C49" s="17">
        <v>1906</v>
      </c>
      <c r="D49" s="13">
        <f>IF(TRIM(C49)="-", "-", C49*'ราคาต้นทุน (Asset)'!$B$8)</f>
        <v>953000</v>
      </c>
      <c r="E49" s="17">
        <v>3599</v>
      </c>
      <c r="F49" s="13">
        <f>IF(TRIM(E49)="-", "-", E49*'ราคาต้นทุน (Asset)'!$B$9)</f>
        <v>719800</v>
      </c>
      <c r="G49" s="18">
        <v>34</v>
      </c>
      <c r="H49" s="13">
        <f>IF(TRIM(G49)="-", "-", G49*'ราคาต้นทุน (Asset)'!$B$11)</f>
        <v>17000</v>
      </c>
      <c r="I49" s="18">
        <v>14</v>
      </c>
      <c r="J49" s="13">
        <f>IF(TRIM(I49)="-", "-", I49*'ราคาต้นทุน (Asset)'!$B$19)</f>
        <v>70000</v>
      </c>
      <c r="K49" s="18">
        <v>35</v>
      </c>
      <c r="L49" s="13">
        <f>IF(TRIM(K49)="-", "-", K49*'ราคาต้นทุน (Asset)'!$B$24)</f>
        <v>1400000</v>
      </c>
      <c r="M49" s="18" t="s">
        <v>475</v>
      </c>
      <c r="N49" s="13" t="str">
        <f>IF(TRIM(M49)="-", "-", M49*'ราคาต้นทุน (Asset)'!$B$25)</f>
        <v>-</v>
      </c>
      <c r="O49" s="18">
        <v>267</v>
      </c>
      <c r="P49" s="13">
        <f>IF(TRIM(O49)="-", "-", O49*'ราคาต้นทุน (Asset)'!$B$26)</f>
        <v>133500</v>
      </c>
      <c r="Q49" s="17">
        <v>11510</v>
      </c>
      <c r="R49" s="13">
        <f>IF(TRIM(Q49)="-", "-", Q49*'ราคาต้นทุน (Asset)'!$B$28)</f>
        <v>1151000</v>
      </c>
      <c r="S49" s="18">
        <v>329</v>
      </c>
      <c r="T49" s="13">
        <f>IF(TRIM(S49)="-", "-", S49*'ราคาต้นทุน (Asset)'!$B$30)</f>
        <v>987000</v>
      </c>
      <c r="U49" s="13">
        <f t="shared" si="2"/>
        <v>5431300</v>
      </c>
    </row>
    <row r="50" spans="1:21" ht="24">
      <c r="A50" s="15">
        <v>446</v>
      </c>
      <c r="B50" s="16" t="s">
        <v>243</v>
      </c>
      <c r="C50" s="18">
        <v>748</v>
      </c>
      <c r="D50" s="13">
        <f>IF(TRIM(C50)="-", "-", C50*'ราคาต้นทุน (Asset)'!$B$8)</f>
        <v>374000</v>
      </c>
      <c r="E50" s="18">
        <v>857</v>
      </c>
      <c r="F50" s="13">
        <f>IF(TRIM(E50)="-", "-", E50*'ราคาต้นทุน (Asset)'!$B$9)</f>
        <v>171400</v>
      </c>
      <c r="G50" s="18">
        <v>16</v>
      </c>
      <c r="H50" s="13">
        <f>IF(TRIM(G50)="-", "-", G50*'ราคาต้นทุน (Asset)'!$B$11)</f>
        <v>8000</v>
      </c>
      <c r="I50" s="18">
        <v>14</v>
      </c>
      <c r="J50" s="13">
        <f>IF(TRIM(I50)="-", "-", I50*'ราคาต้นทุน (Asset)'!$B$19)</f>
        <v>70000</v>
      </c>
      <c r="K50" s="18">
        <v>19</v>
      </c>
      <c r="L50" s="13">
        <f>IF(TRIM(K50)="-", "-", K50*'ราคาต้นทุน (Asset)'!$B$24)</f>
        <v>760000</v>
      </c>
      <c r="M50" s="18" t="s">
        <v>475</v>
      </c>
      <c r="N50" s="13" t="str">
        <f>IF(TRIM(M50)="-", "-", M50*'ราคาต้นทุน (Asset)'!$B$25)</f>
        <v>-</v>
      </c>
      <c r="O50" s="18">
        <v>116</v>
      </c>
      <c r="P50" s="13">
        <f>IF(TRIM(O50)="-", "-", O50*'ราคาต้นทุน (Asset)'!$B$26)</f>
        <v>58000</v>
      </c>
      <c r="Q50" s="17">
        <v>11100</v>
      </c>
      <c r="R50" s="13">
        <f>IF(TRIM(Q50)="-", "-", Q50*'ราคาต้นทุน (Asset)'!$B$28)</f>
        <v>1110000</v>
      </c>
      <c r="S50" s="18">
        <v>395</v>
      </c>
      <c r="T50" s="13">
        <f>IF(TRIM(S50)="-", "-", S50*'ราคาต้นทุน (Asset)'!$B$30)</f>
        <v>1185000</v>
      </c>
      <c r="U50" s="13">
        <f t="shared" si="2"/>
        <v>3736400</v>
      </c>
    </row>
    <row r="51" spans="1:21" ht="24">
      <c r="A51" s="15">
        <v>447</v>
      </c>
      <c r="B51" s="16" t="s">
        <v>269</v>
      </c>
      <c r="C51" s="17">
        <v>1361</v>
      </c>
      <c r="D51" s="13">
        <f>IF(TRIM(C51)="-", "-", C51*'ราคาต้นทุน (Asset)'!$B$8)</f>
        <v>680500</v>
      </c>
      <c r="E51" s="17">
        <v>2174</v>
      </c>
      <c r="F51" s="13">
        <f>IF(TRIM(E51)="-", "-", E51*'ราคาต้นทุน (Asset)'!$B$9)</f>
        <v>434800</v>
      </c>
      <c r="G51" s="18">
        <v>8</v>
      </c>
      <c r="H51" s="13">
        <f>IF(TRIM(G51)="-", "-", G51*'ราคาต้นทุน (Asset)'!$B$11)</f>
        <v>4000</v>
      </c>
      <c r="I51" s="18">
        <v>4</v>
      </c>
      <c r="J51" s="13">
        <f>IF(TRIM(I51)="-", "-", I51*'ราคาต้นทุน (Asset)'!$B$19)</f>
        <v>20000</v>
      </c>
      <c r="K51" s="18">
        <v>25</v>
      </c>
      <c r="L51" s="13">
        <f>IF(TRIM(K51)="-", "-", K51*'ราคาต้นทุน (Asset)'!$B$24)</f>
        <v>1000000</v>
      </c>
      <c r="M51" s="18" t="s">
        <v>475</v>
      </c>
      <c r="N51" s="13" t="str">
        <f>IF(TRIM(M51)="-", "-", M51*'ราคาต้นทุน (Asset)'!$B$25)</f>
        <v>-</v>
      </c>
      <c r="O51" s="18">
        <v>263</v>
      </c>
      <c r="P51" s="13">
        <f>IF(TRIM(O51)="-", "-", O51*'ราคาต้นทุน (Asset)'!$B$26)</f>
        <v>131500</v>
      </c>
      <c r="Q51" s="17">
        <v>12130</v>
      </c>
      <c r="R51" s="13">
        <f>IF(TRIM(Q51)="-", "-", Q51*'ราคาต้นทุน (Asset)'!$B$28)</f>
        <v>1213000</v>
      </c>
      <c r="S51" s="18">
        <v>167</v>
      </c>
      <c r="T51" s="13">
        <f>IF(TRIM(S51)="-", "-", S51*'ราคาต้นทุน (Asset)'!$B$30)</f>
        <v>501000</v>
      </c>
      <c r="U51" s="13">
        <f t="shared" si="2"/>
        <v>3984800</v>
      </c>
    </row>
    <row r="52" spans="1:21" ht="24">
      <c r="A52" s="15">
        <v>448</v>
      </c>
      <c r="B52" s="16" t="s">
        <v>252</v>
      </c>
      <c r="C52" s="18">
        <v>581</v>
      </c>
      <c r="D52" s="13">
        <f>IF(TRIM(C52)="-", "-", C52*'ราคาต้นทุน (Asset)'!$B$8)</f>
        <v>290500</v>
      </c>
      <c r="E52" s="17">
        <v>2596</v>
      </c>
      <c r="F52" s="13">
        <f>IF(TRIM(E52)="-", "-", E52*'ราคาต้นทุน (Asset)'!$B$9)</f>
        <v>519200</v>
      </c>
      <c r="G52" s="18">
        <v>23</v>
      </c>
      <c r="H52" s="13">
        <f>IF(TRIM(G52)="-", "-", G52*'ราคาต้นทุน (Asset)'!$B$11)</f>
        <v>11500</v>
      </c>
      <c r="I52" s="18">
        <v>14</v>
      </c>
      <c r="J52" s="13">
        <f>IF(TRIM(I52)="-", "-", I52*'ราคาต้นทุน (Asset)'!$B$19)</f>
        <v>70000</v>
      </c>
      <c r="K52" s="18">
        <v>28</v>
      </c>
      <c r="L52" s="13">
        <f>IF(TRIM(K52)="-", "-", K52*'ราคาต้นทุน (Asset)'!$B$24)</f>
        <v>1120000</v>
      </c>
      <c r="M52" s="18" t="s">
        <v>475</v>
      </c>
      <c r="N52" s="13" t="str">
        <f>IF(TRIM(M52)="-", "-", M52*'ราคาต้นทุน (Asset)'!$B$25)</f>
        <v>-</v>
      </c>
      <c r="O52" s="18">
        <v>170</v>
      </c>
      <c r="P52" s="13">
        <f>IF(TRIM(O52)="-", "-", O52*'ราคาต้นทุน (Asset)'!$B$26)</f>
        <v>85000</v>
      </c>
      <c r="Q52" s="17">
        <v>12837</v>
      </c>
      <c r="R52" s="13">
        <f>IF(TRIM(Q52)="-", "-", Q52*'ราคาต้นทุน (Asset)'!$B$28)</f>
        <v>1283700</v>
      </c>
      <c r="S52" s="18">
        <v>300</v>
      </c>
      <c r="T52" s="13">
        <f>IF(TRIM(S52)="-", "-", S52*'ราคาต้นทุน (Asset)'!$B$30)</f>
        <v>900000</v>
      </c>
      <c r="U52" s="13">
        <f t="shared" si="2"/>
        <v>4279900</v>
      </c>
    </row>
    <row r="53" spans="1:21" ht="24">
      <c r="A53" s="15">
        <v>511</v>
      </c>
      <c r="B53" s="16" t="s">
        <v>215</v>
      </c>
      <c r="C53" s="18">
        <v>901</v>
      </c>
      <c r="D53" s="13">
        <f>IF(TRIM(C53)="-", "-", C53*'ราคาต้นทุน (Asset)'!$B$8)</f>
        <v>450500</v>
      </c>
      <c r="E53" s="17">
        <v>2302</v>
      </c>
      <c r="F53" s="13">
        <f>IF(TRIM(E53)="-", "-", E53*'ราคาต้นทุน (Asset)'!$B$9)</f>
        <v>460400</v>
      </c>
      <c r="G53" s="18">
        <v>33</v>
      </c>
      <c r="H53" s="13">
        <f>IF(TRIM(G53)="-", "-", G53*'ราคาต้นทุน (Asset)'!$B$11)</f>
        <v>16500</v>
      </c>
      <c r="I53" s="18">
        <v>14</v>
      </c>
      <c r="J53" s="13">
        <f>IF(TRIM(I53)="-", "-", I53*'ราคาต้นทุน (Asset)'!$B$19)</f>
        <v>70000</v>
      </c>
      <c r="K53" s="18">
        <v>34</v>
      </c>
      <c r="L53" s="13">
        <f>IF(TRIM(K53)="-", "-", K53*'ราคาต้นทุน (Asset)'!$B$24)</f>
        <v>1360000</v>
      </c>
      <c r="M53" s="18" t="s">
        <v>475</v>
      </c>
      <c r="N53" s="13" t="str">
        <f>IF(TRIM(M53)="-", "-", M53*'ราคาต้นทุน (Asset)'!$B$25)</f>
        <v>-</v>
      </c>
      <c r="O53" s="18">
        <v>264</v>
      </c>
      <c r="P53" s="13">
        <f>IF(TRIM(O53)="-", "-", O53*'ราคาต้นทุน (Asset)'!$B$26)</f>
        <v>132000</v>
      </c>
      <c r="Q53" s="17">
        <v>10212</v>
      </c>
      <c r="R53" s="13">
        <f>IF(TRIM(Q53)="-", "-", Q53*'ราคาต้นทุน (Asset)'!$B$28)</f>
        <v>1021200</v>
      </c>
      <c r="S53" s="18">
        <v>166</v>
      </c>
      <c r="T53" s="13">
        <f>IF(TRIM(S53)="-", "-", S53*'ราคาต้นทุน (Asset)'!$B$30)</f>
        <v>498000</v>
      </c>
      <c r="U53" s="13">
        <f t="shared" si="2"/>
        <v>4008600</v>
      </c>
    </row>
    <row r="54" spans="1:21" ht="24">
      <c r="A54" s="15">
        <v>512</v>
      </c>
      <c r="B54" s="16" t="s">
        <v>209</v>
      </c>
      <c r="C54" s="17">
        <v>1319</v>
      </c>
      <c r="D54" s="13">
        <f>IF(TRIM(C54)="-", "-", C54*'ราคาต้นทุน (Asset)'!$B$8)</f>
        <v>659500</v>
      </c>
      <c r="E54" s="17">
        <v>1233</v>
      </c>
      <c r="F54" s="13">
        <f>IF(TRIM(E54)="-", "-", E54*'ราคาต้นทุน (Asset)'!$B$9)</f>
        <v>246600</v>
      </c>
      <c r="G54" s="18">
        <v>37</v>
      </c>
      <c r="H54" s="13">
        <f>IF(TRIM(G54)="-", "-", G54*'ราคาต้นทุน (Asset)'!$B$11)</f>
        <v>18500</v>
      </c>
      <c r="I54" s="18">
        <v>15</v>
      </c>
      <c r="J54" s="13">
        <f>IF(TRIM(I54)="-", "-", I54*'ราคาต้นทุน (Asset)'!$B$19)</f>
        <v>75000</v>
      </c>
      <c r="K54" s="18">
        <v>15</v>
      </c>
      <c r="L54" s="13">
        <f>IF(TRIM(K54)="-", "-", K54*'ราคาต้นทุน (Asset)'!$B$24)</f>
        <v>600000</v>
      </c>
      <c r="M54" s="18" t="s">
        <v>475</v>
      </c>
      <c r="N54" s="13" t="str">
        <f>IF(TRIM(M54)="-", "-", M54*'ราคาต้นทุน (Asset)'!$B$25)</f>
        <v>-</v>
      </c>
      <c r="O54" s="18">
        <v>307</v>
      </c>
      <c r="P54" s="13">
        <f>IF(TRIM(O54)="-", "-", O54*'ราคาต้นทุน (Asset)'!$B$26)</f>
        <v>153500</v>
      </c>
      <c r="Q54" s="17">
        <v>10692</v>
      </c>
      <c r="R54" s="13">
        <f>IF(TRIM(Q54)="-", "-", Q54*'ราคาต้นทุน (Asset)'!$B$28)</f>
        <v>1069200</v>
      </c>
      <c r="S54" s="18">
        <v>225</v>
      </c>
      <c r="T54" s="13">
        <f>IF(TRIM(S54)="-", "-", S54*'ราคาต้นทุน (Asset)'!$B$30)</f>
        <v>675000</v>
      </c>
      <c r="U54" s="13">
        <f t="shared" si="2"/>
        <v>3497300</v>
      </c>
    </row>
    <row r="55" spans="1:21" ht="24">
      <c r="A55" s="15">
        <v>513</v>
      </c>
      <c r="B55" s="16" t="s">
        <v>187</v>
      </c>
      <c r="C55" s="17">
        <v>2087</v>
      </c>
      <c r="D55" s="13">
        <f>IF(TRIM(C55)="-", "-", C55*'ราคาต้นทุน (Asset)'!$B$8)</f>
        <v>1043500</v>
      </c>
      <c r="E55" s="17">
        <v>1375</v>
      </c>
      <c r="F55" s="13">
        <f>IF(TRIM(E55)="-", "-", E55*'ราคาต้นทุน (Asset)'!$B$9)</f>
        <v>275000</v>
      </c>
      <c r="G55" s="18">
        <v>65</v>
      </c>
      <c r="H55" s="13">
        <f>IF(TRIM(G55)="-", "-", G55*'ราคาต้นทุน (Asset)'!$B$11)</f>
        <v>32500</v>
      </c>
      <c r="I55" s="18">
        <v>9</v>
      </c>
      <c r="J55" s="13">
        <f>IF(TRIM(I55)="-", "-", I55*'ราคาต้นทุน (Asset)'!$B$19)</f>
        <v>45000</v>
      </c>
      <c r="K55" s="18">
        <v>28</v>
      </c>
      <c r="L55" s="13">
        <f>IF(TRIM(K55)="-", "-", K55*'ราคาต้นทุน (Asset)'!$B$24)</f>
        <v>1120000</v>
      </c>
      <c r="M55" s="18">
        <v>1</v>
      </c>
      <c r="N55" s="13">
        <f>IF(TRIM(M55)="-", "-", M55*'ราคาต้นทุน (Asset)'!$B$25)</f>
        <v>500</v>
      </c>
      <c r="O55" s="18">
        <v>174</v>
      </c>
      <c r="P55" s="13">
        <f>IF(TRIM(O55)="-", "-", O55*'ราคาต้นทุน (Asset)'!$B$26)</f>
        <v>87000</v>
      </c>
      <c r="Q55" s="17">
        <v>12243</v>
      </c>
      <c r="R55" s="13">
        <f>IF(TRIM(Q55)="-", "-", Q55*'ราคาต้นทุน (Asset)'!$B$28)</f>
        <v>1224300</v>
      </c>
      <c r="S55" s="18">
        <v>204</v>
      </c>
      <c r="T55" s="13">
        <f>IF(TRIM(S55)="-", "-", S55*'ราคาต้นทุน (Asset)'!$B$30)</f>
        <v>612000</v>
      </c>
      <c r="U55" s="13">
        <f t="shared" si="2"/>
        <v>4439800</v>
      </c>
    </row>
    <row r="56" spans="1:21" ht="24">
      <c r="A56" s="15">
        <v>514</v>
      </c>
      <c r="B56" s="16" t="s">
        <v>282</v>
      </c>
      <c r="C56" s="17">
        <v>1806</v>
      </c>
      <c r="D56" s="13">
        <f>IF(TRIM(C56)="-", "-", C56*'ราคาต้นทุน (Asset)'!$B$8)</f>
        <v>903000</v>
      </c>
      <c r="E56" s="18">
        <v>68</v>
      </c>
      <c r="F56" s="13">
        <f>IF(TRIM(E56)="-", "-", E56*'ราคาต้นทุน (Asset)'!$B$9)</f>
        <v>13600</v>
      </c>
      <c r="G56" s="18">
        <v>24</v>
      </c>
      <c r="H56" s="13">
        <f>IF(TRIM(G56)="-", "-", G56*'ราคาต้นทุน (Asset)'!$B$11)</f>
        <v>12000</v>
      </c>
      <c r="I56" s="18">
        <v>1</v>
      </c>
      <c r="J56" s="13">
        <f>IF(TRIM(I56)="-", "-", I56*'ราคาต้นทุน (Asset)'!$B$19)</f>
        <v>5000</v>
      </c>
      <c r="K56" s="18">
        <v>12</v>
      </c>
      <c r="L56" s="13">
        <f>IF(TRIM(K56)="-", "-", K56*'ราคาต้นทุน (Asset)'!$B$24)</f>
        <v>480000</v>
      </c>
      <c r="M56" s="18" t="s">
        <v>475</v>
      </c>
      <c r="N56" s="13" t="str">
        <f>IF(TRIM(M56)="-", "-", M56*'ราคาต้นทุน (Asset)'!$B$25)</f>
        <v>-</v>
      </c>
      <c r="O56" s="18">
        <v>260</v>
      </c>
      <c r="P56" s="13">
        <f>IF(TRIM(O56)="-", "-", O56*'ราคาต้นทุน (Asset)'!$B$26)</f>
        <v>130000</v>
      </c>
      <c r="Q56" s="17">
        <v>7157</v>
      </c>
      <c r="R56" s="13">
        <f>IF(TRIM(Q56)="-", "-", Q56*'ราคาต้นทุน (Asset)'!$B$28)</f>
        <v>715700</v>
      </c>
      <c r="S56" s="18">
        <v>90</v>
      </c>
      <c r="T56" s="13">
        <f>IF(TRIM(S56)="-", "-", S56*'ราคาต้นทุน (Asset)'!$B$30)</f>
        <v>270000</v>
      </c>
      <c r="U56" s="13">
        <f t="shared" si="2"/>
        <v>2529300</v>
      </c>
    </row>
    <row r="57" spans="1:21" ht="24">
      <c r="A57" s="15">
        <v>515</v>
      </c>
      <c r="B57" s="16" t="s">
        <v>286</v>
      </c>
      <c r="C57" s="17">
        <v>1511</v>
      </c>
      <c r="D57" s="13">
        <f>IF(TRIM(C57)="-", "-", C57*'ราคาต้นทุน (Asset)'!$B$8)</f>
        <v>755500</v>
      </c>
      <c r="E57" s="18">
        <v>190</v>
      </c>
      <c r="F57" s="13">
        <f>IF(TRIM(E57)="-", "-", E57*'ราคาต้นทุน (Asset)'!$B$9)</f>
        <v>38000</v>
      </c>
      <c r="G57" s="18">
        <v>31</v>
      </c>
      <c r="H57" s="13">
        <f>IF(TRIM(G57)="-", "-", G57*'ราคาต้นทุน (Asset)'!$B$11)</f>
        <v>15500</v>
      </c>
      <c r="I57" s="18">
        <v>17</v>
      </c>
      <c r="J57" s="13">
        <f>IF(TRIM(I57)="-", "-", I57*'ราคาต้นทุน (Asset)'!$B$19)</f>
        <v>85000</v>
      </c>
      <c r="K57" s="18">
        <v>8</v>
      </c>
      <c r="L57" s="13">
        <f>IF(TRIM(K57)="-", "-", K57*'ราคาต้นทุน (Asset)'!$B$24)</f>
        <v>320000</v>
      </c>
      <c r="M57" s="18" t="s">
        <v>475</v>
      </c>
      <c r="N57" s="13" t="str">
        <f>IF(TRIM(M57)="-", "-", M57*'ราคาต้นทุน (Asset)'!$B$25)</f>
        <v>-</v>
      </c>
      <c r="O57" s="18">
        <v>375</v>
      </c>
      <c r="P57" s="13">
        <f>IF(TRIM(O57)="-", "-", O57*'ราคาต้นทุน (Asset)'!$B$26)</f>
        <v>187500</v>
      </c>
      <c r="Q57" s="17">
        <v>9315</v>
      </c>
      <c r="R57" s="13">
        <f>IF(TRIM(Q57)="-", "-", Q57*'ราคาต้นทุน (Asset)'!$B$28)</f>
        <v>931500</v>
      </c>
      <c r="S57" s="18">
        <v>165</v>
      </c>
      <c r="T57" s="13">
        <f>IF(TRIM(S57)="-", "-", S57*'ราคาต้นทุน (Asset)'!$B$30)</f>
        <v>495000</v>
      </c>
      <c r="U57" s="13">
        <f t="shared" si="2"/>
        <v>2828000</v>
      </c>
    </row>
    <row r="58" spans="1:21" ht="24">
      <c r="A58" s="15">
        <v>517</v>
      </c>
      <c r="B58" s="16" t="s">
        <v>196</v>
      </c>
      <c r="C58" s="17">
        <v>1583</v>
      </c>
      <c r="D58" s="13">
        <f>IF(TRIM(C58)="-", "-", C58*'ราคาต้นทุน (Asset)'!$B$8)</f>
        <v>791500</v>
      </c>
      <c r="E58" s="17">
        <v>1369</v>
      </c>
      <c r="F58" s="13">
        <f>IF(TRIM(E58)="-", "-", E58*'ราคาต้นทุน (Asset)'!$B$9)</f>
        <v>273800</v>
      </c>
      <c r="G58" s="18">
        <v>31</v>
      </c>
      <c r="H58" s="13">
        <f>IF(TRIM(G58)="-", "-", G58*'ราคาต้นทุน (Asset)'!$B$11)</f>
        <v>15500</v>
      </c>
      <c r="I58" s="18">
        <v>21</v>
      </c>
      <c r="J58" s="13">
        <f>IF(TRIM(I58)="-", "-", I58*'ราคาต้นทุน (Asset)'!$B$19)</f>
        <v>105000</v>
      </c>
      <c r="K58" s="18">
        <v>17</v>
      </c>
      <c r="L58" s="13">
        <f>IF(TRIM(K58)="-", "-", K58*'ราคาต้นทุน (Asset)'!$B$24)</f>
        <v>680000</v>
      </c>
      <c r="M58" s="18" t="s">
        <v>475</v>
      </c>
      <c r="N58" s="13" t="str">
        <f>IF(TRIM(M58)="-", "-", M58*'ราคาต้นทุน (Asset)'!$B$25)</f>
        <v>-</v>
      </c>
      <c r="O58" s="18">
        <v>475</v>
      </c>
      <c r="P58" s="13">
        <f>IF(TRIM(O58)="-", "-", O58*'ราคาต้นทุน (Asset)'!$B$26)</f>
        <v>237500</v>
      </c>
      <c r="Q58" s="17">
        <v>13955</v>
      </c>
      <c r="R58" s="13">
        <f>IF(TRIM(Q58)="-", "-", Q58*'ราคาต้นทุน (Asset)'!$B$28)</f>
        <v>1395500</v>
      </c>
      <c r="S58" s="18">
        <v>150</v>
      </c>
      <c r="T58" s="13">
        <f>IF(TRIM(S58)="-", "-", S58*'ราคาต้นทุน (Asset)'!$B$30)</f>
        <v>450000</v>
      </c>
      <c r="U58" s="13">
        <f t="shared" si="2"/>
        <v>3948800</v>
      </c>
    </row>
    <row r="59" spans="1:21" ht="24">
      <c r="A59" s="15">
        <v>519</v>
      </c>
      <c r="B59" s="16" t="s">
        <v>219</v>
      </c>
      <c r="C59" s="17">
        <v>1091</v>
      </c>
      <c r="D59" s="13">
        <f>IF(TRIM(C59)="-", "-", C59*'ราคาต้นทุน (Asset)'!$B$8)</f>
        <v>545500</v>
      </c>
      <c r="E59" s="18">
        <v>743</v>
      </c>
      <c r="F59" s="13">
        <f>IF(TRIM(E59)="-", "-", E59*'ราคาต้นทุน (Asset)'!$B$9)</f>
        <v>148600</v>
      </c>
      <c r="G59" s="18">
        <v>53</v>
      </c>
      <c r="H59" s="13">
        <f>IF(TRIM(G59)="-", "-", G59*'ราคาต้นทุน (Asset)'!$B$11)</f>
        <v>26500</v>
      </c>
      <c r="I59" s="18">
        <v>3</v>
      </c>
      <c r="J59" s="13">
        <f>IF(TRIM(I59)="-", "-", I59*'ราคาต้นทุน (Asset)'!$B$19)</f>
        <v>15000</v>
      </c>
      <c r="K59" s="18">
        <v>17</v>
      </c>
      <c r="L59" s="13">
        <f>IF(TRIM(K59)="-", "-", K59*'ราคาต้นทุน (Asset)'!$B$24)</f>
        <v>680000</v>
      </c>
      <c r="M59" s="18" t="s">
        <v>475</v>
      </c>
      <c r="N59" s="13" t="str">
        <f>IF(TRIM(M59)="-", "-", M59*'ราคาต้นทุน (Asset)'!$B$25)</f>
        <v>-</v>
      </c>
      <c r="O59" s="18">
        <v>258</v>
      </c>
      <c r="P59" s="13">
        <f>IF(TRIM(O59)="-", "-", O59*'ราคาต้นทุน (Asset)'!$B$26)</f>
        <v>129000</v>
      </c>
      <c r="Q59" s="17">
        <v>10712</v>
      </c>
      <c r="R59" s="13">
        <f>IF(TRIM(Q59)="-", "-", Q59*'ราคาต้นทุน (Asset)'!$B$28)</f>
        <v>1071200</v>
      </c>
      <c r="S59" s="18">
        <v>135</v>
      </c>
      <c r="T59" s="13">
        <f>IF(TRIM(S59)="-", "-", S59*'ราคาต้นทุน (Asset)'!$B$30)</f>
        <v>405000</v>
      </c>
      <c r="U59" s="13">
        <f t="shared" si="2"/>
        <v>3020800</v>
      </c>
    </row>
    <row r="60" spans="1:21" ht="24">
      <c r="A60" s="15">
        <v>521</v>
      </c>
      <c r="B60" s="16" t="s">
        <v>220</v>
      </c>
      <c r="C60" s="17">
        <v>1455</v>
      </c>
      <c r="D60" s="13">
        <f>IF(TRIM(C60)="-", "-", C60*'ราคาต้นทุน (Asset)'!$B$8)</f>
        <v>727500</v>
      </c>
      <c r="E60" s="18">
        <v>312</v>
      </c>
      <c r="F60" s="13">
        <f>IF(TRIM(E60)="-", "-", E60*'ราคาต้นทุน (Asset)'!$B$9)</f>
        <v>62400</v>
      </c>
      <c r="G60" s="18">
        <v>35</v>
      </c>
      <c r="H60" s="13">
        <f>IF(TRIM(G60)="-", "-", G60*'ราคาต้นทุน (Asset)'!$B$11)</f>
        <v>17500</v>
      </c>
      <c r="I60" s="18">
        <v>6</v>
      </c>
      <c r="J60" s="13">
        <f>IF(TRIM(I60)="-", "-", I60*'ราคาต้นทุน (Asset)'!$B$19)</f>
        <v>30000</v>
      </c>
      <c r="K60" s="18">
        <v>19</v>
      </c>
      <c r="L60" s="13">
        <f>IF(TRIM(K60)="-", "-", K60*'ราคาต้นทุน (Asset)'!$B$24)</f>
        <v>760000</v>
      </c>
      <c r="M60" s="18">
        <v>5</v>
      </c>
      <c r="N60" s="13">
        <f>IF(TRIM(M60)="-", "-", M60*'ราคาต้นทุน (Asset)'!$B$25)</f>
        <v>2500</v>
      </c>
      <c r="O60" s="18">
        <v>171</v>
      </c>
      <c r="P60" s="13">
        <f>IF(TRIM(O60)="-", "-", O60*'ราคาต้นทุน (Asset)'!$B$26)</f>
        <v>85500</v>
      </c>
      <c r="Q60" s="17">
        <v>6462</v>
      </c>
      <c r="R60" s="13">
        <f>IF(TRIM(Q60)="-", "-", Q60*'ราคาต้นทุน (Asset)'!$B$28)</f>
        <v>646200</v>
      </c>
      <c r="S60" s="18">
        <v>90</v>
      </c>
      <c r="T60" s="13">
        <f>IF(TRIM(S60)="-", "-", S60*'ราคาต้นทุน (Asset)'!$B$30)</f>
        <v>270000</v>
      </c>
      <c r="U60" s="13">
        <f t="shared" si="2"/>
        <v>2601600</v>
      </c>
    </row>
    <row r="61" spans="1:21" ht="24">
      <c r="A61" s="15">
        <v>522</v>
      </c>
      <c r="B61" s="16" t="s">
        <v>186</v>
      </c>
      <c r="C61" s="17">
        <v>1750</v>
      </c>
      <c r="D61" s="13">
        <f>IF(TRIM(C61)="-", "-", C61*'ราคาต้นทุน (Asset)'!$B$8)</f>
        <v>875000</v>
      </c>
      <c r="E61" s="17">
        <v>2426</v>
      </c>
      <c r="F61" s="13">
        <f>IF(TRIM(E61)="-", "-", E61*'ราคาต้นทุน (Asset)'!$B$9)</f>
        <v>485200</v>
      </c>
      <c r="G61" s="18">
        <v>74</v>
      </c>
      <c r="H61" s="13">
        <f>IF(TRIM(G61)="-", "-", G61*'ราคาต้นทุน (Asset)'!$B$11)</f>
        <v>37000</v>
      </c>
      <c r="I61" s="18">
        <v>18</v>
      </c>
      <c r="J61" s="13">
        <f>IF(TRIM(I61)="-", "-", I61*'ราคาต้นทุน (Asset)'!$B$19)</f>
        <v>90000</v>
      </c>
      <c r="K61" s="18">
        <v>45</v>
      </c>
      <c r="L61" s="13">
        <f>IF(TRIM(K61)="-", "-", K61*'ราคาต้นทุน (Asset)'!$B$24)</f>
        <v>1800000</v>
      </c>
      <c r="M61" s="18" t="s">
        <v>475</v>
      </c>
      <c r="N61" s="13" t="str">
        <f>IF(TRIM(M61)="-", "-", M61*'ราคาต้นทุน (Asset)'!$B$25)</f>
        <v>-</v>
      </c>
      <c r="O61" s="18">
        <v>1</v>
      </c>
      <c r="P61" s="13">
        <f>IF(TRIM(O61)="-", "-", O61*'ราคาต้นทุน (Asset)'!$B$26)</f>
        <v>500</v>
      </c>
      <c r="Q61" s="17">
        <v>12126</v>
      </c>
      <c r="R61" s="13">
        <f>IF(TRIM(Q61)="-", "-", Q61*'ราคาต้นทุน (Asset)'!$B$28)</f>
        <v>1212600</v>
      </c>
      <c r="S61" s="18">
        <v>120</v>
      </c>
      <c r="T61" s="13">
        <f>IF(TRIM(S61)="-", "-", S61*'ราคาต้นทุน (Asset)'!$B$30)</f>
        <v>360000</v>
      </c>
      <c r="U61" s="13">
        <f t="shared" si="2"/>
        <v>4860300</v>
      </c>
    </row>
    <row r="62" spans="1:21" ht="24">
      <c r="A62" s="15">
        <v>523</v>
      </c>
      <c r="B62" s="16" t="s">
        <v>208</v>
      </c>
      <c r="C62" s="17">
        <v>1423</v>
      </c>
      <c r="D62" s="13">
        <f>IF(TRIM(C62)="-", "-", C62*'ราคาต้นทุน (Asset)'!$B$8)</f>
        <v>711500</v>
      </c>
      <c r="E62" s="18">
        <v>865</v>
      </c>
      <c r="F62" s="13">
        <f>IF(TRIM(E62)="-", "-", E62*'ราคาต้นทุน (Asset)'!$B$9)</f>
        <v>173000</v>
      </c>
      <c r="G62" s="18">
        <v>54</v>
      </c>
      <c r="H62" s="13">
        <f>IF(TRIM(G62)="-", "-", G62*'ราคาต้นทุน (Asset)'!$B$11)</f>
        <v>27000</v>
      </c>
      <c r="I62" s="18">
        <v>31</v>
      </c>
      <c r="J62" s="13">
        <f>IF(TRIM(I62)="-", "-", I62*'ราคาต้นทุน (Asset)'!$B$19)</f>
        <v>155000</v>
      </c>
      <c r="K62" s="18">
        <v>30</v>
      </c>
      <c r="L62" s="13">
        <f>IF(TRIM(K62)="-", "-", K62*'ราคาต้นทุน (Asset)'!$B$24)</f>
        <v>1200000</v>
      </c>
      <c r="M62" s="18" t="s">
        <v>475</v>
      </c>
      <c r="N62" s="13" t="str">
        <f>IF(TRIM(M62)="-", "-", M62*'ราคาต้นทุน (Asset)'!$B$25)</f>
        <v>-</v>
      </c>
      <c r="O62" s="18">
        <v>291</v>
      </c>
      <c r="P62" s="13">
        <f>IF(TRIM(O62)="-", "-", O62*'ราคาต้นทุน (Asset)'!$B$26)</f>
        <v>145500</v>
      </c>
      <c r="Q62" s="17">
        <v>7951</v>
      </c>
      <c r="R62" s="13">
        <f>IF(TRIM(Q62)="-", "-", Q62*'ราคาต้นทุน (Asset)'!$B$28)</f>
        <v>795100</v>
      </c>
      <c r="S62" s="18">
        <v>124</v>
      </c>
      <c r="T62" s="13">
        <f>IF(TRIM(S62)="-", "-", S62*'ราคาต้นทุน (Asset)'!$B$30)</f>
        <v>372000</v>
      </c>
      <c r="U62" s="13">
        <f t="shared" si="2"/>
        <v>3579100</v>
      </c>
    </row>
    <row r="63" spans="1:21" ht="24">
      <c r="A63" s="15">
        <v>524</v>
      </c>
      <c r="B63" s="16" t="s">
        <v>249</v>
      </c>
      <c r="C63" s="18">
        <v>775</v>
      </c>
      <c r="D63" s="13">
        <f>IF(TRIM(C63)="-", "-", C63*'ราคาต้นทุน (Asset)'!$B$8)</f>
        <v>387500</v>
      </c>
      <c r="E63" s="18">
        <v>180</v>
      </c>
      <c r="F63" s="13">
        <f>IF(TRIM(E63)="-", "-", E63*'ราคาต้นทุน (Asset)'!$B$9)</f>
        <v>36000</v>
      </c>
      <c r="G63" s="18">
        <v>36</v>
      </c>
      <c r="H63" s="13">
        <f>IF(TRIM(G63)="-", "-", G63*'ราคาต้นทุน (Asset)'!$B$11)</f>
        <v>18000</v>
      </c>
      <c r="I63" s="18">
        <v>4</v>
      </c>
      <c r="J63" s="13">
        <f>IF(TRIM(I63)="-", "-", I63*'ราคาต้นทุน (Asset)'!$B$19)</f>
        <v>20000</v>
      </c>
      <c r="K63" s="18">
        <v>27</v>
      </c>
      <c r="L63" s="13">
        <f>IF(TRIM(K63)="-", "-", K63*'ราคาต้นทุน (Asset)'!$B$24)</f>
        <v>1080000</v>
      </c>
      <c r="M63" s="18" t="s">
        <v>475</v>
      </c>
      <c r="N63" s="13" t="str">
        <f>IF(TRIM(M63)="-", "-", M63*'ราคาต้นทุน (Asset)'!$B$25)</f>
        <v>-</v>
      </c>
      <c r="O63" s="18">
        <v>303</v>
      </c>
      <c r="P63" s="13">
        <f>IF(TRIM(O63)="-", "-", O63*'ราคาต้นทุน (Asset)'!$B$26)</f>
        <v>151500</v>
      </c>
      <c r="Q63" s="17">
        <v>9583</v>
      </c>
      <c r="R63" s="13">
        <f>IF(TRIM(Q63)="-", "-", Q63*'ราคาต้นทุน (Asset)'!$B$28)</f>
        <v>958300</v>
      </c>
      <c r="S63" s="18">
        <v>110</v>
      </c>
      <c r="T63" s="13">
        <f>IF(TRIM(S63)="-", "-", S63*'ราคาต้นทุน (Asset)'!$B$30)</f>
        <v>330000</v>
      </c>
      <c r="U63" s="13">
        <f t="shared" si="2"/>
        <v>2981300</v>
      </c>
    </row>
    <row r="64" spans="1:21" ht="24">
      <c r="A64" s="15">
        <v>526</v>
      </c>
      <c r="B64" s="16" t="s">
        <v>257</v>
      </c>
      <c r="C64" s="17">
        <v>1887</v>
      </c>
      <c r="D64" s="13">
        <f>IF(TRIM(C64)="-", "-", C64*'ราคาต้นทุน (Asset)'!$B$8)</f>
        <v>943500</v>
      </c>
      <c r="E64" s="18" t="s">
        <v>475</v>
      </c>
      <c r="F64" s="13" t="str">
        <f>IF(TRIM(E64)="-", "-", E64*'ราคาต้นทุน (Asset)'!$B$9)</f>
        <v>-</v>
      </c>
      <c r="G64" s="18">
        <v>36</v>
      </c>
      <c r="H64" s="13">
        <f>IF(TRIM(G64)="-", "-", G64*'ราคาต้นทุน (Asset)'!$B$11)</f>
        <v>18000</v>
      </c>
      <c r="I64" s="18" t="s">
        <v>475</v>
      </c>
      <c r="J64" s="13" t="str">
        <f>IF(TRIM(I64)="-", "-", I64*'ราคาต้นทุน (Asset)'!$B$19)</f>
        <v>-</v>
      </c>
      <c r="K64" s="18" t="s">
        <v>475</v>
      </c>
      <c r="L64" s="13" t="str">
        <f>IF(TRIM(K64)="-", "-", K64*'ราคาต้นทุน (Asset)'!$B$24)</f>
        <v>-</v>
      </c>
      <c r="M64" s="18" t="s">
        <v>475</v>
      </c>
      <c r="N64" s="13" t="str">
        <f>IF(TRIM(M64)="-", "-", M64*'ราคาต้นทุน (Asset)'!$B$25)</f>
        <v>-</v>
      </c>
      <c r="O64" s="18">
        <v>155</v>
      </c>
      <c r="P64" s="13">
        <f>IF(TRIM(O64)="-", "-", O64*'ราคาต้นทุน (Asset)'!$B$26)</f>
        <v>77500</v>
      </c>
      <c r="Q64" s="17">
        <v>3547</v>
      </c>
      <c r="R64" s="13">
        <f>IF(TRIM(Q64)="-", "-", Q64*'ราคาต้นทุน (Asset)'!$B$28)</f>
        <v>354700</v>
      </c>
      <c r="S64" s="18">
        <v>109</v>
      </c>
      <c r="T64" s="13">
        <f>IF(TRIM(S64)="-", "-", S64*'ราคาต้นทุน (Asset)'!$B$30)</f>
        <v>327000</v>
      </c>
      <c r="U64" s="13">
        <f t="shared" si="2"/>
        <v>1720700</v>
      </c>
    </row>
    <row r="65" spans="1:21" ht="24">
      <c r="A65" s="15">
        <v>527</v>
      </c>
      <c r="B65" s="16" t="s">
        <v>221</v>
      </c>
      <c r="C65" s="17">
        <v>1656</v>
      </c>
      <c r="D65" s="13">
        <f>IF(TRIM(C65)="-", "-", C65*'ราคาต้นทุน (Asset)'!$B$8)</f>
        <v>828000</v>
      </c>
      <c r="E65" s="18" t="s">
        <v>475</v>
      </c>
      <c r="F65" s="13" t="str">
        <f>IF(TRIM(E65)="-", "-", E65*'ราคาต้นทุน (Asset)'!$B$9)</f>
        <v>-</v>
      </c>
      <c r="G65" s="18">
        <v>44</v>
      </c>
      <c r="H65" s="13">
        <f>IF(TRIM(G65)="-", "-", G65*'ราคาต้นทุน (Asset)'!$B$11)</f>
        <v>22000</v>
      </c>
      <c r="I65" s="18">
        <v>1</v>
      </c>
      <c r="J65" s="13">
        <f>IF(TRIM(I65)="-", "-", I65*'ราคาต้นทุน (Asset)'!$B$19)</f>
        <v>5000</v>
      </c>
      <c r="K65" s="18">
        <v>16</v>
      </c>
      <c r="L65" s="13">
        <f>IF(TRIM(K65)="-", "-", K65*'ราคาต้นทุน (Asset)'!$B$24)</f>
        <v>640000</v>
      </c>
      <c r="M65" s="18" t="s">
        <v>475</v>
      </c>
      <c r="N65" s="13" t="str">
        <f>IF(TRIM(M65)="-", "-", M65*'ราคาต้นทุน (Asset)'!$B$25)</f>
        <v>-</v>
      </c>
      <c r="O65" s="18">
        <v>225</v>
      </c>
      <c r="P65" s="13">
        <f>IF(TRIM(O65)="-", "-", O65*'ราคาต้นทุน (Asset)'!$B$26)</f>
        <v>112500</v>
      </c>
      <c r="Q65" s="17">
        <v>4927</v>
      </c>
      <c r="R65" s="13">
        <f>IF(TRIM(Q65)="-", "-", Q65*'ราคาต้นทุน (Asset)'!$B$28)</f>
        <v>492700</v>
      </c>
      <c r="S65" s="18">
        <v>91</v>
      </c>
      <c r="T65" s="13">
        <f>IF(TRIM(S65)="-", "-", S65*'ราคาต้นทุน (Asset)'!$B$30)</f>
        <v>273000</v>
      </c>
      <c r="U65" s="13">
        <f t="shared" si="2"/>
        <v>2373200</v>
      </c>
    </row>
    <row r="66" spans="1:21" ht="24">
      <c r="A66" s="15">
        <v>528</v>
      </c>
      <c r="B66" s="16" t="s">
        <v>234</v>
      </c>
      <c r="C66" s="17">
        <v>1365</v>
      </c>
      <c r="D66" s="13">
        <f>IF(TRIM(C66)="-", "-", C66*'ราคาต้นทุน (Asset)'!$B$8)</f>
        <v>682500</v>
      </c>
      <c r="E66" s="18" t="s">
        <v>475</v>
      </c>
      <c r="F66" s="13" t="str">
        <f>IF(TRIM(E66)="-", "-", E66*'ราคาต้นทุน (Asset)'!$B$9)</f>
        <v>-</v>
      </c>
      <c r="G66" s="18">
        <v>49</v>
      </c>
      <c r="H66" s="13">
        <f>IF(TRIM(G66)="-", "-", G66*'ราคาต้นทุน (Asset)'!$B$11)</f>
        <v>24500</v>
      </c>
      <c r="I66" s="18">
        <v>7</v>
      </c>
      <c r="J66" s="13">
        <f>IF(TRIM(I66)="-", "-", I66*'ราคาต้นทุน (Asset)'!$B$19)</f>
        <v>35000</v>
      </c>
      <c r="K66" s="18">
        <v>8</v>
      </c>
      <c r="L66" s="13">
        <f>IF(TRIM(K66)="-", "-", K66*'ราคาต้นทุน (Asset)'!$B$24)</f>
        <v>320000</v>
      </c>
      <c r="M66" s="18" t="s">
        <v>475</v>
      </c>
      <c r="N66" s="13" t="str">
        <f>IF(TRIM(M66)="-", "-", M66*'ราคาต้นทุน (Asset)'!$B$25)</f>
        <v>-</v>
      </c>
      <c r="O66" s="18">
        <v>402</v>
      </c>
      <c r="P66" s="13">
        <f>IF(TRIM(O66)="-", "-", O66*'ราคาต้นทุน (Asset)'!$B$26)</f>
        <v>201000</v>
      </c>
      <c r="Q66" s="17">
        <v>7856</v>
      </c>
      <c r="R66" s="13">
        <f>IF(TRIM(Q66)="-", "-", Q66*'ราคาต้นทุน (Asset)'!$B$28)</f>
        <v>785600</v>
      </c>
      <c r="S66" s="18">
        <v>127</v>
      </c>
      <c r="T66" s="13">
        <f>IF(TRIM(S66)="-", "-", S66*'ราคาต้นทุน (Asset)'!$B$30)</f>
        <v>381000</v>
      </c>
      <c r="U66" s="13">
        <f t="shared" si="2"/>
        <v>2429600</v>
      </c>
    </row>
    <row r="67" spans="1:21" ht="24">
      <c r="A67" s="15">
        <v>531</v>
      </c>
      <c r="B67" s="16" t="s">
        <v>199</v>
      </c>
      <c r="C67" s="17">
        <v>2040</v>
      </c>
      <c r="D67" s="13">
        <f>IF(TRIM(C67)="-", "-", C67*'ราคาต้นทุน (Asset)'!$B$8)</f>
        <v>1020000</v>
      </c>
      <c r="E67" s="17">
        <v>1464</v>
      </c>
      <c r="F67" s="13">
        <f>IF(TRIM(E67)="-", "-", E67*'ราคาต้นทุน (Asset)'!$B$9)</f>
        <v>292800</v>
      </c>
      <c r="G67" s="18">
        <v>28</v>
      </c>
      <c r="H67" s="13">
        <f>IF(TRIM(G67)="-", "-", G67*'ราคาต้นทุน (Asset)'!$B$11)</f>
        <v>14000</v>
      </c>
      <c r="I67" s="18">
        <v>9</v>
      </c>
      <c r="J67" s="13">
        <f>IF(TRIM(I67)="-", "-", I67*'ราคาต้นทุน (Asset)'!$B$19)</f>
        <v>45000</v>
      </c>
      <c r="K67" s="18">
        <v>19</v>
      </c>
      <c r="L67" s="13">
        <f>IF(TRIM(K67)="-", "-", K67*'ราคาต้นทุน (Asset)'!$B$24)</f>
        <v>760000</v>
      </c>
      <c r="M67" s="18" t="s">
        <v>475</v>
      </c>
      <c r="N67" s="13" t="str">
        <f>IF(TRIM(M67)="-", "-", M67*'ราคาต้นทุน (Asset)'!$B$25)</f>
        <v>-</v>
      </c>
      <c r="O67" s="18">
        <v>86</v>
      </c>
      <c r="P67" s="13">
        <f>IF(TRIM(O67)="-", "-", O67*'ราคาต้นทุน (Asset)'!$B$26)</f>
        <v>43000</v>
      </c>
      <c r="Q67" s="17">
        <v>8579</v>
      </c>
      <c r="R67" s="13">
        <f>IF(TRIM(Q67)="-", "-", Q67*'ราคาต้นทุน (Asset)'!$B$28)</f>
        <v>857900</v>
      </c>
      <c r="S67" s="18">
        <v>136</v>
      </c>
      <c r="T67" s="13">
        <f>IF(TRIM(S67)="-", "-", S67*'ราคาต้นทุน (Asset)'!$B$30)</f>
        <v>408000</v>
      </c>
      <c r="U67" s="13">
        <f t="shared" si="2"/>
        <v>3440700</v>
      </c>
    </row>
    <row r="68" spans="1:21" ht="24">
      <c r="A68" s="15">
        <v>533</v>
      </c>
      <c r="B68" s="16" t="s">
        <v>175</v>
      </c>
      <c r="C68" s="17">
        <v>2153</v>
      </c>
      <c r="D68" s="13">
        <f>IF(TRIM(C68)="-", "-", C68*'ราคาต้นทุน (Asset)'!$B$8)</f>
        <v>1076500</v>
      </c>
      <c r="E68" s="17">
        <v>3822</v>
      </c>
      <c r="F68" s="13">
        <f>IF(TRIM(E68)="-", "-", E68*'ราคาต้นทุน (Asset)'!$B$9)</f>
        <v>764400</v>
      </c>
      <c r="G68" s="18">
        <v>43</v>
      </c>
      <c r="H68" s="13">
        <f>IF(TRIM(G68)="-", "-", G68*'ราคาต้นทุน (Asset)'!$B$11)</f>
        <v>21500</v>
      </c>
      <c r="I68" s="18">
        <v>27</v>
      </c>
      <c r="J68" s="13">
        <f>IF(TRIM(I68)="-", "-", I68*'ราคาต้นทุน (Asset)'!$B$19)</f>
        <v>135000</v>
      </c>
      <c r="K68" s="18">
        <v>33</v>
      </c>
      <c r="L68" s="13">
        <f>IF(TRIM(K68)="-", "-", K68*'ราคาต้นทุน (Asset)'!$B$24)</f>
        <v>1320000</v>
      </c>
      <c r="M68" s="18" t="s">
        <v>475</v>
      </c>
      <c r="N68" s="13" t="str">
        <f>IF(TRIM(M68)="-", "-", M68*'ราคาต้นทุน (Asset)'!$B$25)</f>
        <v>-</v>
      </c>
      <c r="O68" s="18">
        <v>174</v>
      </c>
      <c r="P68" s="13">
        <f>IF(TRIM(O68)="-", "-", O68*'ราคาต้นทุน (Asset)'!$B$26)</f>
        <v>87000</v>
      </c>
      <c r="Q68" s="17">
        <v>10605</v>
      </c>
      <c r="R68" s="13">
        <f>IF(TRIM(Q68)="-", "-", Q68*'ราคาต้นทุน (Asset)'!$B$28)</f>
        <v>1060500</v>
      </c>
      <c r="S68" s="18">
        <v>172</v>
      </c>
      <c r="T68" s="13">
        <f>IF(TRIM(S68)="-", "-", S68*'ราคาต้นทุน (Asset)'!$B$30)</f>
        <v>516000</v>
      </c>
      <c r="U68" s="13">
        <f t="shared" ref="U68:U99" si="3">SUM(D68,F68,H68,J68,L68,N68,P68,R68,T68)</f>
        <v>4980900</v>
      </c>
    </row>
    <row r="69" spans="1:21" ht="24">
      <c r="A69" s="15">
        <v>535</v>
      </c>
      <c r="B69" s="16" t="s">
        <v>223</v>
      </c>
      <c r="C69" s="17">
        <v>1703</v>
      </c>
      <c r="D69" s="13">
        <f>IF(TRIM(C69)="-", "-", C69*'ราคาต้นทุน (Asset)'!$B$8)</f>
        <v>851500</v>
      </c>
      <c r="E69" s="17">
        <v>1256</v>
      </c>
      <c r="F69" s="13">
        <f>IF(TRIM(E69)="-", "-", E69*'ราคาต้นทุน (Asset)'!$B$9)</f>
        <v>251200</v>
      </c>
      <c r="G69" s="18">
        <v>84</v>
      </c>
      <c r="H69" s="13">
        <f>IF(TRIM(G69)="-", "-", G69*'ราคาต้นทุน (Asset)'!$B$11)</f>
        <v>42000</v>
      </c>
      <c r="I69" s="18">
        <v>28</v>
      </c>
      <c r="J69" s="13">
        <f>IF(TRIM(I69)="-", "-", I69*'ราคาต้นทุน (Asset)'!$B$19)</f>
        <v>140000</v>
      </c>
      <c r="K69" s="18">
        <v>27</v>
      </c>
      <c r="L69" s="13">
        <f>IF(TRIM(K69)="-", "-", K69*'ราคาต้นทุน (Asset)'!$B$24)</f>
        <v>1080000</v>
      </c>
      <c r="M69" s="18" t="s">
        <v>475</v>
      </c>
      <c r="N69" s="13" t="str">
        <f>IF(TRIM(M69)="-", "-", M69*'ราคาต้นทุน (Asset)'!$B$25)</f>
        <v>-</v>
      </c>
      <c r="O69" s="18">
        <v>305</v>
      </c>
      <c r="P69" s="13">
        <f>IF(TRIM(O69)="-", "-", O69*'ราคาต้นทุน (Asset)'!$B$26)</f>
        <v>152500</v>
      </c>
      <c r="Q69" s="17">
        <v>9475</v>
      </c>
      <c r="R69" s="13">
        <f>IF(TRIM(Q69)="-", "-", Q69*'ราคาต้นทุน (Asset)'!$B$28)</f>
        <v>947500</v>
      </c>
      <c r="S69" s="18">
        <v>117</v>
      </c>
      <c r="T69" s="13">
        <f>IF(TRIM(S69)="-", "-", S69*'ราคาต้นทุน (Asset)'!$B$30)</f>
        <v>351000</v>
      </c>
      <c r="U69" s="13">
        <f t="shared" si="3"/>
        <v>3815700</v>
      </c>
    </row>
    <row r="70" spans="1:21" ht="24">
      <c r="A70" s="15">
        <v>536</v>
      </c>
      <c r="B70" s="16" t="s">
        <v>237</v>
      </c>
      <c r="C70" s="17">
        <v>1607</v>
      </c>
      <c r="D70" s="13">
        <f>IF(TRIM(C70)="-", "-", C70*'ราคาต้นทุน (Asset)'!$B$8)</f>
        <v>803500</v>
      </c>
      <c r="E70" s="17">
        <v>1073</v>
      </c>
      <c r="F70" s="13">
        <f>IF(TRIM(E70)="-", "-", E70*'ราคาต้นทุน (Asset)'!$B$9)</f>
        <v>214600</v>
      </c>
      <c r="G70" s="18">
        <v>24</v>
      </c>
      <c r="H70" s="13">
        <f>IF(TRIM(G70)="-", "-", G70*'ราคาต้นทุน (Asset)'!$B$11)</f>
        <v>12000</v>
      </c>
      <c r="I70" s="18">
        <v>1</v>
      </c>
      <c r="J70" s="13">
        <f>IF(TRIM(I70)="-", "-", I70*'ราคาต้นทุน (Asset)'!$B$19)</f>
        <v>5000</v>
      </c>
      <c r="K70" s="18">
        <v>6</v>
      </c>
      <c r="L70" s="13">
        <f>IF(TRIM(K70)="-", "-", K70*'ราคาต้นทุน (Asset)'!$B$24)</f>
        <v>240000</v>
      </c>
      <c r="M70" s="18" t="s">
        <v>475</v>
      </c>
      <c r="N70" s="13" t="str">
        <f>IF(TRIM(M70)="-", "-", M70*'ราคาต้นทุน (Asset)'!$B$25)</f>
        <v>-</v>
      </c>
      <c r="O70" s="18">
        <v>376</v>
      </c>
      <c r="P70" s="13">
        <f>IF(TRIM(O70)="-", "-", O70*'ราคาต้นทุน (Asset)'!$B$26)</f>
        <v>188000</v>
      </c>
      <c r="Q70" s="17">
        <v>6144</v>
      </c>
      <c r="R70" s="13">
        <f>IF(TRIM(Q70)="-", "-", Q70*'ราคาต้นทุน (Asset)'!$B$28)</f>
        <v>614400</v>
      </c>
      <c r="S70" s="18">
        <v>34</v>
      </c>
      <c r="T70" s="13">
        <f>IF(TRIM(S70)="-", "-", S70*'ราคาต้นทุน (Asset)'!$B$30)</f>
        <v>102000</v>
      </c>
      <c r="U70" s="13">
        <f t="shared" si="3"/>
        <v>2179500</v>
      </c>
    </row>
    <row r="71" spans="1:21" ht="24">
      <c r="A71" s="15">
        <v>537</v>
      </c>
      <c r="B71" s="16" t="s">
        <v>181</v>
      </c>
      <c r="C71" s="17">
        <v>1610</v>
      </c>
      <c r="D71" s="13">
        <f>IF(TRIM(C71)="-", "-", C71*'ราคาต้นทุน (Asset)'!$B$8)</f>
        <v>805000</v>
      </c>
      <c r="E71" s="18">
        <v>804</v>
      </c>
      <c r="F71" s="13">
        <f>IF(TRIM(E71)="-", "-", E71*'ราคาต้นทุน (Asset)'!$B$9)</f>
        <v>160800</v>
      </c>
      <c r="G71" s="18">
        <v>71</v>
      </c>
      <c r="H71" s="13">
        <f>IF(TRIM(G71)="-", "-", G71*'ราคาต้นทุน (Asset)'!$B$11)</f>
        <v>35500</v>
      </c>
      <c r="I71" s="18">
        <v>11</v>
      </c>
      <c r="J71" s="13">
        <f>IF(TRIM(I71)="-", "-", I71*'ราคาต้นทุน (Asset)'!$B$19)</f>
        <v>55000</v>
      </c>
      <c r="K71" s="18">
        <v>37</v>
      </c>
      <c r="L71" s="13">
        <f>IF(TRIM(K71)="-", "-", K71*'ราคาต้นทุน (Asset)'!$B$24)</f>
        <v>1480000</v>
      </c>
      <c r="M71" s="18" t="s">
        <v>475</v>
      </c>
      <c r="N71" s="13" t="str">
        <f>IF(TRIM(M71)="-", "-", M71*'ราคาต้นทุน (Asset)'!$B$25)</f>
        <v>-</v>
      </c>
      <c r="O71" s="18">
        <v>450</v>
      </c>
      <c r="P71" s="13">
        <f>IF(TRIM(O71)="-", "-", O71*'ราคาต้นทุน (Asset)'!$B$26)</f>
        <v>225000</v>
      </c>
      <c r="Q71" s="17">
        <v>9974</v>
      </c>
      <c r="R71" s="13">
        <f>IF(TRIM(Q71)="-", "-", Q71*'ราคาต้นทุน (Asset)'!$B$28)</f>
        <v>997400</v>
      </c>
      <c r="S71" s="18">
        <v>147</v>
      </c>
      <c r="T71" s="13">
        <f>IF(TRIM(S71)="-", "-", S71*'ราคาต้นทุน (Asset)'!$B$30)</f>
        <v>441000</v>
      </c>
      <c r="U71" s="13">
        <f t="shared" si="3"/>
        <v>4199700</v>
      </c>
    </row>
    <row r="72" spans="1:21" ht="24">
      <c r="A72" s="15">
        <v>539</v>
      </c>
      <c r="B72" s="16" t="s">
        <v>258</v>
      </c>
      <c r="C72" s="17">
        <v>1724</v>
      </c>
      <c r="D72" s="13">
        <f>IF(TRIM(C72)="-", "-", C72*'ราคาต้นทุน (Asset)'!$B$8)</f>
        <v>862000</v>
      </c>
      <c r="E72" s="18">
        <v>136</v>
      </c>
      <c r="F72" s="13">
        <f>IF(TRIM(E72)="-", "-", E72*'ราคาต้นทุน (Asset)'!$B$9)</f>
        <v>27200</v>
      </c>
      <c r="G72" s="18">
        <v>11</v>
      </c>
      <c r="H72" s="13">
        <f>IF(TRIM(G72)="-", "-", G72*'ราคาต้นทุน (Asset)'!$B$11)</f>
        <v>5500</v>
      </c>
      <c r="I72" s="18">
        <v>4</v>
      </c>
      <c r="J72" s="13">
        <f>IF(TRIM(I72)="-", "-", I72*'ราคาต้นทุน (Asset)'!$B$19)</f>
        <v>20000</v>
      </c>
      <c r="K72" s="18">
        <v>4</v>
      </c>
      <c r="L72" s="13">
        <f>IF(TRIM(K72)="-", "-", K72*'ราคาต้นทุน (Asset)'!$B$24)</f>
        <v>160000</v>
      </c>
      <c r="M72" s="18" t="s">
        <v>475</v>
      </c>
      <c r="N72" s="13" t="str">
        <f>IF(TRIM(M72)="-", "-", M72*'ราคาต้นทุน (Asset)'!$B$25)</f>
        <v>-</v>
      </c>
      <c r="O72" s="18">
        <v>239</v>
      </c>
      <c r="P72" s="13">
        <f>IF(TRIM(O72)="-", "-", O72*'ราคาต้นทุน (Asset)'!$B$26)</f>
        <v>119500</v>
      </c>
      <c r="Q72" s="17">
        <v>6008</v>
      </c>
      <c r="R72" s="13">
        <f>IF(TRIM(Q72)="-", "-", Q72*'ราคาต้นทุน (Asset)'!$B$28)</f>
        <v>600800</v>
      </c>
      <c r="S72" s="18">
        <v>113</v>
      </c>
      <c r="T72" s="13">
        <f>IF(TRIM(S72)="-", "-", S72*'ราคาต้นทุน (Asset)'!$B$30)</f>
        <v>339000</v>
      </c>
      <c r="U72" s="13">
        <f t="shared" si="3"/>
        <v>2134000</v>
      </c>
    </row>
    <row r="73" spans="1:21" ht="24">
      <c r="A73" s="15">
        <v>551</v>
      </c>
      <c r="B73" s="16" t="s">
        <v>184</v>
      </c>
      <c r="C73" s="17">
        <v>1925</v>
      </c>
      <c r="D73" s="13">
        <f>IF(TRIM(C73)="-", "-", C73*'ราคาต้นทุน (Asset)'!$B$8)</f>
        <v>962500</v>
      </c>
      <c r="E73" s="18">
        <v>113</v>
      </c>
      <c r="F73" s="13">
        <f>IF(TRIM(E73)="-", "-", E73*'ราคาต้นทุน (Asset)'!$B$9)</f>
        <v>22600</v>
      </c>
      <c r="G73" s="18">
        <v>76</v>
      </c>
      <c r="H73" s="13">
        <f>IF(TRIM(G73)="-", "-", G73*'ราคาต้นทุน (Asset)'!$B$11)</f>
        <v>38000</v>
      </c>
      <c r="I73" s="18">
        <v>33</v>
      </c>
      <c r="J73" s="13">
        <f>IF(TRIM(I73)="-", "-", I73*'ราคาต้นทุน (Asset)'!$B$19)</f>
        <v>165000</v>
      </c>
      <c r="K73" s="18">
        <v>53</v>
      </c>
      <c r="L73" s="13">
        <f>IF(TRIM(K73)="-", "-", K73*'ราคาต้นทุน (Asset)'!$B$24)</f>
        <v>2120000</v>
      </c>
      <c r="M73" s="18" t="s">
        <v>475</v>
      </c>
      <c r="N73" s="13" t="str">
        <f>IF(TRIM(M73)="-", "-", M73*'ราคาต้นทุน (Asset)'!$B$25)</f>
        <v>-</v>
      </c>
      <c r="O73" s="18">
        <v>422</v>
      </c>
      <c r="P73" s="13">
        <f>IF(TRIM(O73)="-", "-", O73*'ราคาต้นทุน (Asset)'!$B$26)</f>
        <v>211000</v>
      </c>
      <c r="Q73" s="17">
        <v>11987</v>
      </c>
      <c r="R73" s="13">
        <f>IF(TRIM(Q73)="-", "-", Q73*'ราคาต้นทุน (Asset)'!$B$28)</f>
        <v>1198700</v>
      </c>
      <c r="S73" s="18">
        <v>241</v>
      </c>
      <c r="T73" s="13">
        <f>IF(TRIM(S73)="-", "-", S73*'ราคาต้นทุน (Asset)'!$B$30)</f>
        <v>723000</v>
      </c>
      <c r="U73" s="13">
        <f t="shared" si="3"/>
        <v>5440800</v>
      </c>
    </row>
    <row r="74" spans="1:21" ht="24">
      <c r="A74" s="15">
        <v>552</v>
      </c>
      <c r="B74" s="16" t="s">
        <v>278</v>
      </c>
      <c r="C74" s="17">
        <v>1050</v>
      </c>
      <c r="D74" s="13">
        <f>IF(TRIM(C74)="-", "-", C74*'ราคาต้นทุน (Asset)'!$B$8)</f>
        <v>525000</v>
      </c>
      <c r="E74" s="17">
        <v>1464</v>
      </c>
      <c r="F74" s="13">
        <f>IF(TRIM(E74)="-", "-", E74*'ราคาต้นทุน (Asset)'!$B$9)</f>
        <v>292800</v>
      </c>
      <c r="G74" s="18">
        <v>62</v>
      </c>
      <c r="H74" s="13">
        <f>IF(TRIM(G74)="-", "-", G74*'ราคาต้นทุน (Asset)'!$B$11)</f>
        <v>31000</v>
      </c>
      <c r="I74" s="18">
        <v>6</v>
      </c>
      <c r="J74" s="13">
        <f>IF(TRIM(I74)="-", "-", I74*'ราคาต้นทุน (Asset)'!$B$19)</f>
        <v>30000</v>
      </c>
      <c r="K74" s="18">
        <v>26</v>
      </c>
      <c r="L74" s="13">
        <f>IF(TRIM(K74)="-", "-", K74*'ราคาต้นทุน (Asset)'!$B$24)</f>
        <v>1040000</v>
      </c>
      <c r="M74" s="18" t="s">
        <v>475</v>
      </c>
      <c r="N74" s="13" t="str">
        <f>IF(TRIM(M74)="-", "-", M74*'ราคาต้นทุน (Asset)'!$B$25)</f>
        <v>-</v>
      </c>
      <c r="O74" s="18" t="s">
        <v>475</v>
      </c>
      <c r="P74" s="13" t="str">
        <f>IF(TRIM(O74)="-", "-", O74*'ราคาต้นทุน (Asset)'!$B$26)</f>
        <v>-</v>
      </c>
      <c r="Q74" s="17">
        <v>9526</v>
      </c>
      <c r="R74" s="13">
        <f>IF(TRIM(Q74)="-", "-", Q74*'ราคาต้นทุน (Asset)'!$B$28)</f>
        <v>952600</v>
      </c>
      <c r="S74" s="18">
        <v>142</v>
      </c>
      <c r="T74" s="13">
        <f>IF(TRIM(S74)="-", "-", S74*'ราคาต้นทุน (Asset)'!$B$30)</f>
        <v>426000</v>
      </c>
      <c r="U74" s="13">
        <f t="shared" si="3"/>
        <v>3297400</v>
      </c>
    </row>
    <row r="75" spans="1:21" ht="24">
      <c r="A75" s="15">
        <v>554</v>
      </c>
      <c r="B75" s="16" t="s">
        <v>216</v>
      </c>
      <c r="C75" s="17">
        <v>1267</v>
      </c>
      <c r="D75" s="13">
        <f>IF(TRIM(C75)="-", "-", C75*'ราคาต้นทุน (Asset)'!$B$8)</f>
        <v>633500</v>
      </c>
      <c r="E75" s="17">
        <v>1240</v>
      </c>
      <c r="F75" s="13">
        <f>IF(TRIM(E75)="-", "-", E75*'ราคาต้นทุน (Asset)'!$B$9)</f>
        <v>248000</v>
      </c>
      <c r="G75" s="18">
        <v>28</v>
      </c>
      <c r="H75" s="13">
        <f>IF(TRIM(G75)="-", "-", G75*'ราคาต้นทุน (Asset)'!$B$11)</f>
        <v>14000</v>
      </c>
      <c r="I75" s="18">
        <v>7</v>
      </c>
      <c r="J75" s="13">
        <f>IF(TRIM(I75)="-", "-", I75*'ราคาต้นทุน (Asset)'!$B$19)</f>
        <v>35000</v>
      </c>
      <c r="K75" s="18">
        <v>29</v>
      </c>
      <c r="L75" s="13">
        <f>IF(TRIM(K75)="-", "-", K75*'ราคาต้นทุน (Asset)'!$B$24)</f>
        <v>1160000</v>
      </c>
      <c r="M75" s="18" t="s">
        <v>475</v>
      </c>
      <c r="N75" s="13" t="str">
        <f>IF(TRIM(M75)="-", "-", M75*'ราคาต้นทุน (Asset)'!$B$25)</f>
        <v>-</v>
      </c>
      <c r="O75" s="18">
        <v>144</v>
      </c>
      <c r="P75" s="13">
        <f>IF(TRIM(O75)="-", "-", O75*'ราคาต้นทุน (Asset)'!$B$26)</f>
        <v>72000</v>
      </c>
      <c r="Q75" s="17">
        <v>7300</v>
      </c>
      <c r="R75" s="13">
        <f>IF(TRIM(Q75)="-", "-", Q75*'ราคาต้นทุน (Asset)'!$B$28)</f>
        <v>730000</v>
      </c>
      <c r="S75" s="18">
        <v>135</v>
      </c>
      <c r="T75" s="13">
        <f>IF(TRIM(S75)="-", "-", S75*'ราคาต้นทุน (Asset)'!$B$30)</f>
        <v>405000</v>
      </c>
      <c r="U75" s="13">
        <f t="shared" si="3"/>
        <v>3297500</v>
      </c>
    </row>
    <row r="76" spans="1:21" ht="24">
      <c r="A76" s="15">
        <v>555</v>
      </c>
      <c r="B76" s="16" t="s">
        <v>279</v>
      </c>
      <c r="C76" s="17">
        <v>1342</v>
      </c>
      <c r="D76" s="13">
        <f>IF(TRIM(C76)="-", "-", C76*'ราคาต้นทุน (Asset)'!$B$8)</f>
        <v>671000</v>
      </c>
      <c r="E76" s="18" t="s">
        <v>475</v>
      </c>
      <c r="F76" s="13" t="str">
        <f>IF(TRIM(E76)="-", "-", E76*'ราคาต้นทุน (Asset)'!$B$9)</f>
        <v>-</v>
      </c>
      <c r="G76" s="18">
        <v>31</v>
      </c>
      <c r="H76" s="13">
        <f>IF(TRIM(G76)="-", "-", G76*'ราคาต้นทุน (Asset)'!$B$11)</f>
        <v>15500</v>
      </c>
      <c r="I76" s="18" t="s">
        <v>475</v>
      </c>
      <c r="J76" s="13" t="str">
        <f>IF(TRIM(I76)="-", "-", I76*'ราคาต้นทุน (Asset)'!$B$19)</f>
        <v>-</v>
      </c>
      <c r="K76" s="18">
        <v>5</v>
      </c>
      <c r="L76" s="13">
        <f>IF(TRIM(K76)="-", "-", K76*'ราคาต้นทุน (Asset)'!$B$24)</f>
        <v>200000</v>
      </c>
      <c r="M76" s="18" t="s">
        <v>475</v>
      </c>
      <c r="N76" s="13" t="str">
        <f>IF(TRIM(M76)="-", "-", M76*'ราคาต้นทุน (Asset)'!$B$25)</f>
        <v>-</v>
      </c>
      <c r="O76" s="18">
        <v>285</v>
      </c>
      <c r="P76" s="13">
        <f>IF(TRIM(O76)="-", "-", O76*'ราคาต้นทุน (Asset)'!$B$26)</f>
        <v>142500</v>
      </c>
      <c r="Q76" s="17">
        <v>3947</v>
      </c>
      <c r="R76" s="13">
        <f>IF(TRIM(Q76)="-", "-", Q76*'ราคาต้นทุน (Asset)'!$B$28)</f>
        <v>394700</v>
      </c>
      <c r="S76" s="18">
        <v>72</v>
      </c>
      <c r="T76" s="13">
        <f>IF(TRIM(S76)="-", "-", S76*'ราคาต้นทุน (Asset)'!$B$30)</f>
        <v>216000</v>
      </c>
      <c r="U76" s="13">
        <f t="shared" si="3"/>
        <v>1639700</v>
      </c>
    </row>
    <row r="77" spans="1:21" ht="24">
      <c r="A77" s="15">
        <v>557</v>
      </c>
      <c r="B77" s="16" t="s">
        <v>266</v>
      </c>
      <c r="C77" s="18">
        <v>831</v>
      </c>
      <c r="D77" s="13">
        <f>IF(TRIM(C77)="-", "-", C77*'ราคาต้นทุน (Asset)'!$B$8)</f>
        <v>415500</v>
      </c>
      <c r="E77" s="18">
        <v>395</v>
      </c>
      <c r="F77" s="13">
        <f>IF(TRIM(E77)="-", "-", E77*'ราคาต้นทุน (Asset)'!$B$9)</f>
        <v>79000</v>
      </c>
      <c r="G77" s="18">
        <v>26</v>
      </c>
      <c r="H77" s="13">
        <f>IF(TRIM(G77)="-", "-", G77*'ราคาต้นทุน (Asset)'!$B$11)</f>
        <v>13000</v>
      </c>
      <c r="I77" s="18">
        <v>9</v>
      </c>
      <c r="J77" s="13">
        <f>IF(TRIM(I77)="-", "-", I77*'ราคาต้นทุน (Asset)'!$B$19)</f>
        <v>45000</v>
      </c>
      <c r="K77" s="18">
        <v>23</v>
      </c>
      <c r="L77" s="13">
        <f>IF(TRIM(K77)="-", "-", K77*'ราคาต้นทุน (Asset)'!$B$24)</f>
        <v>920000</v>
      </c>
      <c r="M77" s="18" t="s">
        <v>475</v>
      </c>
      <c r="N77" s="13" t="str">
        <f>IF(TRIM(M77)="-", "-", M77*'ราคาต้นทุน (Asset)'!$B$25)</f>
        <v>-</v>
      </c>
      <c r="O77" s="18">
        <v>199</v>
      </c>
      <c r="P77" s="13">
        <f>IF(TRIM(O77)="-", "-", O77*'ราคาต้นทุน (Asset)'!$B$26)</f>
        <v>99500</v>
      </c>
      <c r="Q77" s="17">
        <v>7758</v>
      </c>
      <c r="R77" s="13">
        <f>IF(TRIM(Q77)="-", "-", Q77*'ราคาต้นทุน (Asset)'!$B$28)</f>
        <v>775800</v>
      </c>
      <c r="S77" s="18">
        <v>164</v>
      </c>
      <c r="T77" s="13">
        <f>IF(TRIM(S77)="-", "-", S77*'ราคาต้นทุน (Asset)'!$B$30)</f>
        <v>492000</v>
      </c>
      <c r="U77" s="13">
        <f t="shared" si="3"/>
        <v>2839800</v>
      </c>
    </row>
    <row r="78" spans="1:21" ht="24">
      <c r="A78" s="15">
        <v>558</v>
      </c>
      <c r="B78" s="16" t="s">
        <v>267</v>
      </c>
      <c r="C78" s="17">
        <v>1066</v>
      </c>
      <c r="D78" s="13">
        <f>IF(TRIM(C78)="-", "-", C78*'ราคาต้นทุน (Asset)'!$B$8)</f>
        <v>533000</v>
      </c>
      <c r="E78" s="18">
        <v>8</v>
      </c>
      <c r="F78" s="13">
        <f>IF(TRIM(E78)="-", "-", E78*'ราคาต้นทุน (Asset)'!$B$9)</f>
        <v>1600</v>
      </c>
      <c r="G78" s="18">
        <v>41</v>
      </c>
      <c r="H78" s="13">
        <f>IF(TRIM(G78)="-", "-", G78*'ราคาต้นทุน (Asset)'!$B$11)</f>
        <v>20500</v>
      </c>
      <c r="I78" s="18">
        <v>2</v>
      </c>
      <c r="J78" s="13">
        <f>IF(TRIM(I78)="-", "-", I78*'ราคาต้นทุน (Asset)'!$B$19)</f>
        <v>10000</v>
      </c>
      <c r="K78" s="18">
        <v>3</v>
      </c>
      <c r="L78" s="13">
        <f>IF(TRIM(K78)="-", "-", K78*'ราคาต้นทุน (Asset)'!$B$24)</f>
        <v>120000</v>
      </c>
      <c r="M78" s="18">
        <v>3</v>
      </c>
      <c r="N78" s="13">
        <f>IF(TRIM(M78)="-", "-", M78*'ราคาต้นทุน (Asset)'!$B$25)</f>
        <v>1500</v>
      </c>
      <c r="O78" s="18">
        <v>172</v>
      </c>
      <c r="P78" s="13">
        <f>IF(TRIM(O78)="-", "-", O78*'ราคาต้นทุน (Asset)'!$B$26)</f>
        <v>86000</v>
      </c>
      <c r="Q78" s="17">
        <v>3907</v>
      </c>
      <c r="R78" s="13">
        <f>IF(TRIM(Q78)="-", "-", Q78*'ราคาต้นทุน (Asset)'!$B$28)</f>
        <v>390700</v>
      </c>
      <c r="S78" s="18">
        <v>59</v>
      </c>
      <c r="T78" s="13">
        <f>IF(TRIM(S78)="-", "-", S78*'ราคาต้นทุน (Asset)'!$B$30)</f>
        <v>177000</v>
      </c>
      <c r="U78" s="13">
        <f t="shared" si="3"/>
        <v>1340300</v>
      </c>
    </row>
    <row r="79" spans="1:21" ht="24">
      <c r="A79" s="15">
        <v>611</v>
      </c>
      <c r="B79" s="16" t="s">
        <v>172</v>
      </c>
      <c r="C79" s="17">
        <v>1668</v>
      </c>
      <c r="D79" s="13">
        <f>IF(TRIM(C79)="-", "-", C79*'ราคาต้นทุน (Asset)'!$B$8)</f>
        <v>834000</v>
      </c>
      <c r="E79" s="17">
        <v>2000</v>
      </c>
      <c r="F79" s="13">
        <f>IF(TRIM(E79)="-", "-", E79*'ราคาต้นทุน (Asset)'!$B$9)</f>
        <v>400000</v>
      </c>
      <c r="G79" s="18">
        <v>22</v>
      </c>
      <c r="H79" s="13">
        <f>IF(TRIM(G79)="-", "-", G79*'ราคาต้นทุน (Asset)'!$B$11)</f>
        <v>11000</v>
      </c>
      <c r="I79" s="18">
        <v>30</v>
      </c>
      <c r="J79" s="13">
        <f>IF(TRIM(I79)="-", "-", I79*'ราคาต้นทุน (Asset)'!$B$19)</f>
        <v>150000</v>
      </c>
      <c r="K79" s="18">
        <v>41</v>
      </c>
      <c r="L79" s="13">
        <f>IF(TRIM(K79)="-", "-", K79*'ราคาต้นทุน (Asset)'!$B$24)</f>
        <v>1640000</v>
      </c>
      <c r="M79" s="18" t="s">
        <v>475</v>
      </c>
      <c r="N79" s="13" t="str">
        <f>IF(TRIM(M79)="-", "-", M79*'ราคาต้นทุน (Asset)'!$B$25)</f>
        <v>-</v>
      </c>
      <c r="O79" s="18">
        <v>309</v>
      </c>
      <c r="P79" s="13">
        <f>IF(TRIM(O79)="-", "-", O79*'ราคาต้นทุน (Asset)'!$B$26)</f>
        <v>154500</v>
      </c>
      <c r="Q79" s="17">
        <v>14340</v>
      </c>
      <c r="R79" s="13">
        <f>IF(TRIM(Q79)="-", "-", Q79*'ราคาต้นทุน (Asset)'!$B$28)</f>
        <v>1434000</v>
      </c>
      <c r="S79" s="18">
        <v>306</v>
      </c>
      <c r="T79" s="13">
        <f>IF(TRIM(S79)="-", "-", S79*'ราคาต้นทุน (Asset)'!$B$30)</f>
        <v>918000</v>
      </c>
      <c r="U79" s="13">
        <f t="shared" si="3"/>
        <v>5541500</v>
      </c>
    </row>
    <row r="80" spans="1:21" ht="24">
      <c r="A80" s="15">
        <v>612</v>
      </c>
      <c r="B80" s="16" t="s">
        <v>171</v>
      </c>
      <c r="C80" s="18">
        <v>939</v>
      </c>
      <c r="D80" s="13">
        <f>IF(TRIM(C80)="-", "-", C80*'ราคาต้นทุน (Asset)'!$B$8)</f>
        <v>469500</v>
      </c>
      <c r="E80" s="18">
        <v>28</v>
      </c>
      <c r="F80" s="13">
        <f>IF(TRIM(E80)="-", "-", E80*'ราคาต้นทุน (Asset)'!$B$9)</f>
        <v>5600</v>
      </c>
      <c r="G80" s="18">
        <v>24</v>
      </c>
      <c r="H80" s="13">
        <f>IF(TRIM(G80)="-", "-", G80*'ราคาต้นทุน (Asset)'!$B$11)</f>
        <v>12000</v>
      </c>
      <c r="I80" s="18">
        <v>63</v>
      </c>
      <c r="J80" s="13">
        <f>IF(TRIM(I80)="-", "-", I80*'ราคาต้นทุน (Asset)'!$B$19)</f>
        <v>315000</v>
      </c>
      <c r="K80" s="18">
        <v>20</v>
      </c>
      <c r="L80" s="13">
        <f>IF(TRIM(K80)="-", "-", K80*'ราคาต้นทุน (Asset)'!$B$24)</f>
        <v>800000</v>
      </c>
      <c r="M80" s="18" t="s">
        <v>475</v>
      </c>
      <c r="N80" s="13" t="str">
        <f>IF(TRIM(M80)="-", "-", M80*'ราคาต้นทุน (Asset)'!$B$25)</f>
        <v>-</v>
      </c>
      <c r="O80" s="18">
        <v>189</v>
      </c>
      <c r="P80" s="13">
        <f>IF(TRIM(O80)="-", "-", O80*'ราคาต้นทุน (Asset)'!$B$26)</f>
        <v>94500</v>
      </c>
      <c r="Q80" s="17">
        <v>10572</v>
      </c>
      <c r="R80" s="13">
        <f>IF(TRIM(Q80)="-", "-", Q80*'ราคาต้นทุน (Asset)'!$B$28)</f>
        <v>1057200</v>
      </c>
      <c r="S80" s="18">
        <v>148</v>
      </c>
      <c r="T80" s="13">
        <f>IF(TRIM(S80)="-", "-", S80*'ราคาต้นทุน (Asset)'!$B$30)</f>
        <v>444000</v>
      </c>
      <c r="U80" s="13">
        <f t="shared" si="3"/>
        <v>3197800</v>
      </c>
    </row>
    <row r="81" spans="1:21" ht="24">
      <c r="A81" s="15">
        <v>614</v>
      </c>
      <c r="B81" s="16" t="s">
        <v>185</v>
      </c>
      <c r="C81" s="17">
        <v>1062</v>
      </c>
      <c r="D81" s="13">
        <f>IF(TRIM(C81)="-", "-", C81*'ราคาต้นทุน (Asset)'!$B$8)</f>
        <v>531000</v>
      </c>
      <c r="E81" s="18">
        <v>481</v>
      </c>
      <c r="F81" s="13">
        <f>IF(TRIM(E81)="-", "-", E81*'ราคาต้นทุน (Asset)'!$B$9)</f>
        <v>96200</v>
      </c>
      <c r="G81" s="18">
        <v>24</v>
      </c>
      <c r="H81" s="13">
        <f>IF(TRIM(G81)="-", "-", G81*'ราคาต้นทุน (Asset)'!$B$11)</f>
        <v>12000</v>
      </c>
      <c r="I81" s="18">
        <v>22</v>
      </c>
      <c r="J81" s="13">
        <f>IF(TRIM(I81)="-", "-", I81*'ราคาต้นทุน (Asset)'!$B$19)</f>
        <v>110000</v>
      </c>
      <c r="K81" s="18">
        <v>31</v>
      </c>
      <c r="L81" s="13">
        <f>IF(TRIM(K81)="-", "-", K81*'ราคาต้นทุน (Asset)'!$B$24)</f>
        <v>1240000</v>
      </c>
      <c r="M81" s="18" t="s">
        <v>475</v>
      </c>
      <c r="N81" s="13" t="str">
        <f>IF(TRIM(M81)="-", "-", M81*'ราคาต้นทุน (Asset)'!$B$25)</f>
        <v>-</v>
      </c>
      <c r="O81" s="18">
        <v>176</v>
      </c>
      <c r="P81" s="13">
        <f>IF(TRIM(O81)="-", "-", O81*'ราคาต้นทุน (Asset)'!$B$26)</f>
        <v>88000</v>
      </c>
      <c r="Q81" s="17">
        <v>10493</v>
      </c>
      <c r="R81" s="13">
        <f>IF(TRIM(Q81)="-", "-", Q81*'ราคาต้นทุน (Asset)'!$B$28)</f>
        <v>1049300</v>
      </c>
      <c r="S81" s="18">
        <v>225</v>
      </c>
      <c r="T81" s="13">
        <f>IF(TRIM(S81)="-", "-", S81*'ราคาต้นทุน (Asset)'!$B$30)</f>
        <v>675000</v>
      </c>
      <c r="U81" s="13">
        <f t="shared" si="3"/>
        <v>3801500</v>
      </c>
    </row>
    <row r="82" spans="1:21" ht="24">
      <c r="A82" s="15">
        <v>615</v>
      </c>
      <c r="B82" s="16" t="s">
        <v>169</v>
      </c>
      <c r="C82" s="17">
        <v>1829</v>
      </c>
      <c r="D82" s="13">
        <f>IF(TRIM(C82)="-", "-", C82*'ราคาต้นทุน (Asset)'!$B$8)</f>
        <v>914500</v>
      </c>
      <c r="E82" s="17">
        <v>3403</v>
      </c>
      <c r="F82" s="13">
        <f>IF(TRIM(E82)="-", "-", E82*'ราคาต้นทุน (Asset)'!$B$9)</f>
        <v>680600</v>
      </c>
      <c r="G82" s="18">
        <v>43</v>
      </c>
      <c r="H82" s="13">
        <f>IF(TRIM(G82)="-", "-", G82*'ราคาต้นทุน (Asset)'!$B$11)</f>
        <v>21500</v>
      </c>
      <c r="I82" s="18">
        <v>18</v>
      </c>
      <c r="J82" s="13">
        <f>IF(TRIM(I82)="-", "-", I82*'ราคาต้นทุน (Asset)'!$B$19)</f>
        <v>90000</v>
      </c>
      <c r="K82" s="18">
        <v>30</v>
      </c>
      <c r="L82" s="13">
        <f>IF(TRIM(K82)="-", "-", K82*'ราคาต้นทุน (Asset)'!$B$24)</f>
        <v>1200000</v>
      </c>
      <c r="M82" s="18" t="s">
        <v>475</v>
      </c>
      <c r="N82" s="13" t="str">
        <f>IF(TRIM(M82)="-", "-", M82*'ราคาต้นทุน (Asset)'!$B$25)</f>
        <v>-</v>
      </c>
      <c r="O82" s="18">
        <v>429</v>
      </c>
      <c r="P82" s="13">
        <f>IF(TRIM(O82)="-", "-", O82*'ราคาต้นทุน (Asset)'!$B$26)</f>
        <v>214500</v>
      </c>
      <c r="Q82" s="17">
        <v>15090</v>
      </c>
      <c r="R82" s="13">
        <f>IF(TRIM(Q82)="-", "-", Q82*'ราคาต้นทุน (Asset)'!$B$28)</f>
        <v>1509000</v>
      </c>
      <c r="S82" s="18">
        <v>435</v>
      </c>
      <c r="T82" s="13">
        <f>IF(TRIM(S82)="-", "-", S82*'ราคาต้นทุน (Asset)'!$B$30)</f>
        <v>1305000</v>
      </c>
      <c r="U82" s="13">
        <f t="shared" si="3"/>
        <v>5935100</v>
      </c>
    </row>
    <row r="83" spans="1:21" ht="24">
      <c r="A83" s="15">
        <v>617</v>
      </c>
      <c r="B83" s="16" t="s">
        <v>166</v>
      </c>
      <c r="C83" s="17">
        <v>1391</v>
      </c>
      <c r="D83" s="13">
        <f>IF(TRIM(C83)="-", "-", C83*'ราคาต้นทุน (Asset)'!$B$8)</f>
        <v>695500</v>
      </c>
      <c r="E83" s="17">
        <v>1677</v>
      </c>
      <c r="F83" s="13">
        <f>IF(TRIM(E83)="-", "-", E83*'ราคาต้นทุน (Asset)'!$B$9)</f>
        <v>335400</v>
      </c>
      <c r="G83" s="18">
        <v>39</v>
      </c>
      <c r="H83" s="13">
        <f>IF(TRIM(G83)="-", "-", G83*'ราคาต้นทุน (Asset)'!$B$11)</f>
        <v>19500</v>
      </c>
      <c r="I83" s="18">
        <v>11</v>
      </c>
      <c r="J83" s="13">
        <f>IF(TRIM(I83)="-", "-", I83*'ราคาต้นทุน (Asset)'!$B$19)</f>
        <v>55000</v>
      </c>
      <c r="K83" s="18">
        <v>57</v>
      </c>
      <c r="L83" s="13">
        <f>IF(TRIM(K83)="-", "-", K83*'ราคาต้นทุน (Asset)'!$B$24)</f>
        <v>2280000</v>
      </c>
      <c r="M83" s="18" t="s">
        <v>475</v>
      </c>
      <c r="N83" s="13" t="str">
        <f>IF(TRIM(M83)="-", "-", M83*'ราคาต้นทุน (Asset)'!$B$25)</f>
        <v>-</v>
      </c>
      <c r="O83" s="18">
        <v>50</v>
      </c>
      <c r="P83" s="13">
        <f>IF(TRIM(O83)="-", "-", O83*'ราคาต้นทุน (Asset)'!$B$26)</f>
        <v>25000</v>
      </c>
      <c r="Q83" s="17">
        <v>16181</v>
      </c>
      <c r="R83" s="13">
        <f>IF(TRIM(Q83)="-", "-", Q83*'ราคาต้นทุน (Asset)'!$B$28)</f>
        <v>1618100</v>
      </c>
      <c r="S83" s="18">
        <v>272</v>
      </c>
      <c r="T83" s="13">
        <f>IF(TRIM(S83)="-", "-", S83*'ราคาต้นทุน (Asset)'!$B$30)</f>
        <v>816000</v>
      </c>
      <c r="U83" s="13">
        <f t="shared" si="3"/>
        <v>5844500</v>
      </c>
    </row>
    <row r="84" spans="1:21" ht="24">
      <c r="A84" s="15">
        <v>618</v>
      </c>
      <c r="B84" s="16" t="s">
        <v>188</v>
      </c>
      <c r="C84" s="17">
        <v>1430</v>
      </c>
      <c r="D84" s="13">
        <f>IF(TRIM(C84)="-", "-", C84*'ราคาต้นทุน (Asset)'!$B$8)</f>
        <v>715000</v>
      </c>
      <c r="E84" s="17">
        <v>1767</v>
      </c>
      <c r="F84" s="13">
        <f>IF(TRIM(E84)="-", "-", E84*'ราคาต้นทุน (Asset)'!$B$9)</f>
        <v>353400</v>
      </c>
      <c r="G84" s="18">
        <v>34</v>
      </c>
      <c r="H84" s="13">
        <f>IF(TRIM(G84)="-", "-", G84*'ราคาต้นทุน (Asset)'!$B$11)</f>
        <v>17000</v>
      </c>
      <c r="I84" s="18">
        <v>18</v>
      </c>
      <c r="J84" s="13">
        <f>IF(TRIM(I84)="-", "-", I84*'ราคาต้นทุน (Asset)'!$B$19)</f>
        <v>90000</v>
      </c>
      <c r="K84" s="18">
        <v>28</v>
      </c>
      <c r="L84" s="13">
        <f>IF(TRIM(K84)="-", "-", K84*'ราคาต้นทุน (Asset)'!$B$24)</f>
        <v>1120000</v>
      </c>
      <c r="M84" s="18">
        <v>1</v>
      </c>
      <c r="N84" s="13">
        <f>IF(TRIM(M84)="-", "-", M84*'ราคาต้นทุน (Asset)'!$B$25)</f>
        <v>500</v>
      </c>
      <c r="O84" s="18">
        <v>331</v>
      </c>
      <c r="P84" s="13">
        <f>IF(TRIM(O84)="-", "-", O84*'ราคาต้นทุน (Asset)'!$B$26)</f>
        <v>165500</v>
      </c>
      <c r="Q84" s="17">
        <v>9557</v>
      </c>
      <c r="R84" s="13">
        <f>IF(TRIM(Q84)="-", "-", Q84*'ราคาต้นทุน (Asset)'!$B$28)</f>
        <v>955700</v>
      </c>
      <c r="S84" s="18">
        <v>224</v>
      </c>
      <c r="T84" s="13">
        <f>IF(TRIM(S84)="-", "-", S84*'ราคาต้นทุน (Asset)'!$B$30)</f>
        <v>672000</v>
      </c>
      <c r="U84" s="13">
        <f t="shared" si="3"/>
        <v>4089100</v>
      </c>
    </row>
    <row r="85" spans="1:21" ht="24">
      <c r="A85" s="15">
        <v>619</v>
      </c>
      <c r="B85" s="16" t="s">
        <v>289</v>
      </c>
      <c r="C85" s="17">
        <v>1252</v>
      </c>
      <c r="D85" s="13">
        <f>IF(TRIM(C85)="-", "-", C85*'ราคาต้นทุน (Asset)'!$B$8)</f>
        <v>626000</v>
      </c>
      <c r="E85" s="17">
        <v>2142</v>
      </c>
      <c r="F85" s="13">
        <f>IF(TRIM(E85)="-", "-", E85*'ราคาต้นทุน (Asset)'!$B$9)</f>
        <v>428400</v>
      </c>
      <c r="G85" s="18">
        <v>48</v>
      </c>
      <c r="H85" s="13">
        <f>IF(TRIM(G85)="-", "-", G85*'ราคาต้นทุน (Asset)'!$B$11)</f>
        <v>24000</v>
      </c>
      <c r="I85" s="18">
        <v>7</v>
      </c>
      <c r="J85" s="13">
        <f>IF(TRIM(I85)="-", "-", I85*'ราคาต้นทุน (Asset)'!$B$19)</f>
        <v>35000</v>
      </c>
      <c r="K85" s="18">
        <v>24</v>
      </c>
      <c r="L85" s="13">
        <f>IF(TRIM(K85)="-", "-", K85*'ราคาต้นทุน (Asset)'!$B$24)</f>
        <v>960000</v>
      </c>
      <c r="M85" s="18" t="s">
        <v>475</v>
      </c>
      <c r="N85" s="13" t="str">
        <f>IF(TRIM(M85)="-", "-", M85*'ราคาต้นทุน (Asset)'!$B$25)</f>
        <v>-</v>
      </c>
      <c r="O85" s="18">
        <v>203</v>
      </c>
      <c r="P85" s="13">
        <f>IF(TRIM(O85)="-", "-", O85*'ราคาต้นทุน (Asset)'!$B$26)</f>
        <v>101500</v>
      </c>
      <c r="Q85" s="17">
        <v>7314</v>
      </c>
      <c r="R85" s="13">
        <f>IF(TRIM(Q85)="-", "-", Q85*'ราคาต้นทุน (Asset)'!$B$28)</f>
        <v>731400</v>
      </c>
      <c r="S85" s="18">
        <v>191</v>
      </c>
      <c r="T85" s="13">
        <f>IF(TRIM(S85)="-", "-", S85*'ราคาต้นทุน (Asset)'!$B$30)</f>
        <v>573000</v>
      </c>
      <c r="U85" s="13">
        <f t="shared" si="3"/>
        <v>3479300</v>
      </c>
    </row>
    <row r="86" spans="1:21" ht="24">
      <c r="A86" s="15">
        <v>621</v>
      </c>
      <c r="B86" s="16" t="s">
        <v>242</v>
      </c>
      <c r="C86" s="18">
        <v>435</v>
      </c>
      <c r="D86" s="13">
        <f>IF(TRIM(C86)="-", "-", C86*'ราคาต้นทุน (Asset)'!$B$8)</f>
        <v>217500</v>
      </c>
      <c r="E86" s="17">
        <v>2734</v>
      </c>
      <c r="F86" s="13">
        <f>IF(TRIM(E86)="-", "-", E86*'ราคาต้นทุน (Asset)'!$B$9)</f>
        <v>546800</v>
      </c>
      <c r="G86" s="18">
        <v>56</v>
      </c>
      <c r="H86" s="13">
        <f>IF(TRIM(G86)="-", "-", G86*'ราคาต้นทุน (Asset)'!$B$11)</f>
        <v>28000</v>
      </c>
      <c r="I86" s="18">
        <v>19</v>
      </c>
      <c r="J86" s="13">
        <f>IF(TRIM(I86)="-", "-", I86*'ราคาต้นทุน (Asset)'!$B$19)</f>
        <v>95000</v>
      </c>
      <c r="K86" s="18">
        <v>21</v>
      </c>
      <c r="L86" s="13">
        <f>IF(TRIM(K86)="-", "-", K86*'ราคาต้นทุน (Asset)'!$B$24)</f>
        <v>840000</v>
      </c>
      <c r="M86" s="18" t="s">
        <v>475</v>
      </c>
      <c r="N86" s="13" t="str">
        <f>IF(TRIM(M86)="-", "-", M86*'ราคาต้นทุน (Asset)'!$B$25)</f>
        <v>-</v>
      </c>
      <c r="O86" s="18">
        <v>126</v>
      </c>
      <c r="P86" s="13">
        <f>IF(TRIM(O86)="-", "-", O86*'ราคาต้นทุน (Asset)'!$B$26)</f>
        <v>63000</v>
      </c>
      <c r="Q86" s="17">
        <v>6988</v>
      </c>
      <c r="R86" s="13">
        <f>IF(TRIM(Q86)="-", "-", Q86*'ราคาต้นทุน (Asset)'!$B$28)</f>
        <v>698800</v>
      </c>
      <c r="S86" s="18">
        <v>235</v>
      </c>
      <c r="T86" s="13">
        <f>IF(TRIM(S86)="-", "-", S86*'ราคาต้นทุน (Asset)'!$B$30)</f>
        <v>705000</v>
      </c>
      <c r="U86" s="13">
        <f t="shared" si="3"/>
        <v>3194100</v>
      </c>
    </row>
    <row r="87" spans="1:21" ht="24">
      <c r="A87" s="15">
        <v>622</v>
      </c>
      <c r="B87" s="16" t="s">
        <v>192</v>
      </c>
      <c r="C87" s="18">
        <v>777</v>
      </c>
      <c r="D87" s="13">
        <f>IF(TRIM(C87)="-", "-", C87*'ราคาต้นทุน (Asset)'!$B$8)</f>
        <v>388500</v>
      </c>
      <c r="E87" s="17">
        <v>1920</v>
      </c>
      <c r="F87" s="13">
        <f>IF(TRIM(E87)="-", "-", E87*'ราคาต้นทุน (Asset)'!$B$9)</f>
        <v>384000</v>
      </c>
      <c r="G87" s="18">
        <v>35</v>
      </c>
      <c r="H87" s="13">
        <f>IF(TRIM(G87)="-", "-", G87*'ราคาต้นทุน (Asset)'!$B$11)</f>
        <v>17500</v>
      </c>
      <c r="I87" s="18">
        <v>6</v>
      </c>
      <c r="J87" s="13">
        <f>IF(TRIM(I87)="-", "-", I87*'ราคาต้นทุน (Asset)'!$B$19)</f>
        <v>30000</v>
      </c>
      <c r="K87" s="18">
        <v>29</v>
      </c>
      <c r="L87" s="13">
        <f>IF(TRIM(K87)="-", "-", K87*'ราคาต้นทุน (Asset)'!$B$24)</f>
        <v>1160000</v>
      </c>
      <c r="M87" s="18" t="s">
        <v>475</v>
      </c>
      <c r="N87" s="13" t="str">
        <f>IF(TRIM(M87)="-", "-", M87*'ราคาต้นทุน (Asset)'!$B$25)</f>
        <v>-</v>
      </c>
      <c r="O87" s="18">
        <v>170</v>
      </c>
      <c r="P87" s="13">
        <f>IF(TRIM(O87)="-", "-", O87*'ราคาต้นทุน (Asset)'!$B$26)</f>
        <v>85000</v>
      </c>
      <c r="Q87" s="17">
        <v>11956</v>
      </c>
      <c r="R87" s="13">
        <f>IF(TRIM(Q87)="-", "-", Q87*'ราคาต้นทุน (Asset)'!$B$28)</f>
        <v>1195600</v>
      </c>
      <c r="S87" s="18">
        <v>321</v>
      </c>
      <c r="T87" s="13">
        <f>IF(TRIM(S87)="-", "-", S87*'ราคาต้นทุน (Asset)'!$B$30)</f>
        <v>963000</v>
      </c>
      <c r="U87" s="13">
        <f t="shared" si="3"/>
        <v>4223600</v>
      </c>
    </row>
    <row r="88" spans="1:21" ht="24">
      <c r="A88" s="15">
        <v>623</v>
      </c>
      <c r="B88" s="16" t="s">
        <v>235</v>
      </c>
      <c r="C88" s="18">
        <v>717</v>
      </c>
      <c r="D88" s="13">
        <f>IF(TRIM(C88)="-", "-", C88*'ราคาต้นทุน (Asset)'!$B$8)</f>
        <v>358500</v>
      </c>
      <c r="E88" s="17">
        <v>1036</v>
      </c>
      <c r="F88" s="13">
        <f>IF(TRIM(E88)="-", "-", E88*'ราคาต้นทุน (Asset)'!$B$9)</f>
        <v>207200</v>
      </c>
      <c r="G88" s="18">
        <v>56</v>
      </c>
      <c r="H88" s="13">
        <f>IF(TRIM(G88)="-", "-", G88*'ราคาต้นทุน (Asset)'!$B$11)</f>
        <v>28000</v>
      </c>
      <c r="I88" s="18">
        <v>34</v>
      </c>
      <c r="J88" s="13">
        <f>IF(TRIM(I88)="-", "-", I88*'ราคาต้นทุน (Asset)'!$B$19)</f>
        <v>170000</v>
      </c>
      <c r="K88" s="18">
        <v>24</v>
      </c>
      <c r="L88" s="13">
        <f>IF(TRIM(K88)="-", "-", K88*'ราคาต้นทุน (Asset)'!$B$24)</f>
        <v>960000</v>
      </c>
      <c r="M88" s="18" t="s">
        <v>475</v>
      </c>
      <c r="N88" s="13" t="str">
        <f>IF(TRIM(M88)="-", "-", M88*'ราคาต้นทุน (Asset)'!$B$25)</f>
        <v>-</v>
      </c>
      <c r="O88" s="18">
        <v>55</v>
      </c>
      <c r="P88" s="13">
        <f>IF(TRIM(O88)="-", "-", O88*'ราคาต้นทุน (Asset)'!$B$26)</f>
        <v>27500</v>
      </c>
      <c r="Q88" s="17">
        <v>8559</v>
      </c>
      <c r="R88" s="13">
        <f>IF(TRIM(Q88)="-", "-", Q88*'ราคาต้นทุน (Asset)'!$B$28)</f>
        <v>855900</v>
      </c>
      <c r="S88" s="18">
        <v>152</v>
      </c>
      <c r="T88" s="13">
        <f>IF(TRIM(S88)="-", "-", S88*'ราคาต้นทุน (Asset)'!$B$30)</f>
        <v>456000</v>
      </c>
      <c r="U88" s="13">
        <f t="shared" si="3"/>
        <v>3063100</v>
      </c>
    </row>
    <row r="89" spans="1:21" ht="24">
      <c r="A89" s="15">
        <v>624</v>
      </c>
      <c r="B89" s="16" t="s">
        <v>294</v>
      </c>
      <c r="C89" s="18">
        <v>792</v>
      </c>
      <c r="D89" s="13">
        <f>IF(TRIM(C89)="-", "-", C89*'ราคาต้นทุน (Asset)'!$B$8)</f>
        <v>396000</v>
      </c>
      <c r="E89" s="18">
        <v>236</v>
      </c>
      <c r="F89" s="13">
        <f>IF(TRIM(E89)="-", "-", E89*'ราคาต้นทุน (Asset)'!$B$9)</f>
        <v>47200</v>
      </c>
      <c r="G89" s="18">
        <v>84</v>
      </c>
      <c r="H89" s="13">
        <f>IF(TRIM(G89)="-", "-", G89*'ราคาต้นทุน (Asset)'!$B$11)</f>
        <v>42000</v>
      </c>
      <c r="I89" s="18">
        <v>2</v>
      </c>
      <c r="J89" s="13">
        <f>IF(TRIM(I89)="-", "-", I89*'ราคาต้นทุน (Asset)'!$B$19)</f>
        <v>10000</v>
      </c>
      <c r="K89" s="18">
        <v>10</v>
      </c>
      <c r="L89" s="13">
        <f>IF(TRIM(K89)="-", "-", K89*'ราคาต้นทุน (Asset)'!$B$24)</f>
        <v>400000</v>
      </c>
      <c r="M89" s="18" t="s">
        <v>475</v>
      </c>
      <c r="N89" s="13" t="str">
        <f>IF(TRIM(M89)="-", "-", M89*'ราคาต้นทุน (Asset)'!$B$25)</f>
        <v>-</v>
      </c>
      <c r="O89" s="18">
        <v>5</v>
      </c>
      <c r="P89" s="13">
        <f>IF(TRIM(O89)="-", "-", O89*'ราคาต้นทุน (Asset)'!$B$26)</f>
        <v>2500</v>
      </c>
      <c r="Q89" s="17">
        <v>5067</v>
      </c>
      <c r="R89" s="13">
        <f>IF(TRIM(Q89)="-", "-", Q89*'ราคาต้นทุน (Asset)'!$B$28)</f>
        <v>506700</v>
      </c>
      <c r="S89" s="18">
        <v>200</v>
      </c>
      <c r="T89" s="13">
        <f>IF(TRIM(S89)="-", "-", S89*'ราคาต้นทุน (Asset)'!$B$30)</f>
        <v>600000</v>
      </c>
      <c r="U89" s="13">
        <f t="shared" si="3"/>
        <v>2004400</v>
      </c>
    </row>
    <row r="90" spans="1:21" ht="24">
      <c r="A90" s="15">
        <v>626</v>
      </c>
      <c r="B90" s="16" t="s">
        <v>204</v>
      </c>
      <c r="C90" s="17">
        <v>1760</v>
      </c>
      <c r="D90" s="13">
        <f>IF(TRIM(C90)="-", "-", C90*'ราคาต้นทุน (Asset)'!$B$8)</f>
        <v>880000</v>
      </c>
      <c r="E90" s="18">
        <v>844</v>
      </c>
      <c r="F90" s="13">
        <f>IF(TRIM(E90)="-", "-", E90*'ราคาต้นทุน (Asset)'!$B$9)</f>
        <v>168800</v>
      </c>
      <c r="G90" s="18">
        <v>38</v>
      </c>
      <c r="H90" s="13">
        <f>IF(TRIM(G90)="-", "-", G90*'ราคาต้นทุน (Asset)'!$B$11)</f>
        <v>19000</v>
      </c>
      <c r="I90" s="18">
        <v>11</v>
      </c>
      <c r="J90" s="13">
        <f>IF(TRIM(I90)="-", "-", I90*'ราคาต้นทุน (Asset)'!$B$19)</f>
        <v>55000</v>
      </c>
      <c r="K90" s="18">
        <v>16</v>
      </c>
      <c r="L90" s="13">
        <f>IF(TRIM(K90)="-", "-", K90*'ราคาต้นทุน (Asset)'!$B$24)</f>
        <v>640000</v>
      </c>
      <c r="M90" s="18" t="s">
        <v>475</v>
      </c>
      <c r="N90" s="13" t="str">
        <f>IF(TRIM(M90)="-", "-", M90*'ราคาต้นทุน (Asset)'!$B$25)</f>
        <v>-</v>
      </c>
      <c r="O90" s="18">
        <v>529</v>
      </c>
      <c r="P90" s="13">
        <f>IF(TRIM(O90)="-", "-", O90*'ราคาต้นทุน (Asset)'!$B$26)</f>
        <v>264500</v>
      </c>
      <c r="Q90" s="17">
        <v>11244</v>
      </c>
      <c r="R90" s="13">
        <f>IF(TRIM(Q90)="-", "-", Q90*'ราคาต้นทุน (Asset)'!$B$28)</f>
        <v>1124400</v>
      </c>
      <c r="S90" s="18">
        <v>126</v>
      </c>
      <c r="T90" s="13">
        <f>IF(TRIM(S90)="-", "-", S90*'ราคาต้นทุน (Asset)'!$B$30)</f>
        <v>378000</v>
      </c>
      <c r="U90" s="13">
        <f t="shared" si="3"/>
        <v>3529700</v>
      </c>
    </row>
    <row r="91" spans="1:21" ht="24">
      <c r="A91" s="15">
        <v>627</v>
      </c>
      <c r="B91" s="16" t="s">
        <v>280</v>
      </c>
      <c r="C91" s="17">
        <v>1111</v>
      </c>
      <c r="D91" s="13">
        <f>IF(TRIM(C91)="-", "-", C91*'ราคาต้นทุน (Asset)'!$B$8)</f>
        <v>555500</v>
      </c>
      <c r="E91" s="17">
        <v>1765</v>
      </c>
      <c r="F91" s="13">
        <f>IF(TRIM(E91)="-", "-", E91*'ราคาต้นทุน (Asset)'!$B$9)</f>
        <v>353000</v>
      </c>
      <c r="G91" s="18">
        <v>25</v>
      </c>
      <c r="H91" s="13">
        <f>IF(TRIM(G91)="-", "-", G91*'ราคาต้นทุน (Asset)'!$B$11)</f>
        <v>12500</v>
      </c>
      <c r="I91" s="18">
        <v>28</v>
      </c>
      <c r="J91" s="13">
        <f>IF(TRIM(I91)="-", "-", I91*'ราคาต้นทุน (Asset)'!$B$19)</f>
        <v>140000</v>
      </c>
      <c r="K91" s="18">
        <v>18</v>
      </c>
      <c r="L91" s="13">
        <f>IF(TRIM(K91)="-", "-", K91*'ราคาต้นทุน (Asset)'!$B$24)</f>
        <v>720000</v>
      </c>
      <c r="M91" s="18" t="s">
        <v>475</v>
      </c>
      <c r="N91" s="13" t="str">
        <f>IF(TRIM(M91)="-", "-", M91*'ราคาต้นทุน (Asset)'!$B$25)</f>
        <v>-</v>
      </c>
      <c r="O91" s="18">
        <v>226</v>
      </c>
      <c r="P91" s="13">
        <f>IF(TRIM(O91)="-", "-", O91*'ราคาต้นทุน (Asset)'!$B$26)</f>
        <v>113000</v>
      </c>
      <c r="Q91" s="17">
        <v>10358</v>
      </c>
      <c r="R91" s="13">
        <f>IF(TRIM(Q91)="-", "-", Q91*'ราคาต้นทุน (Asset)'!$B$28)</f>
        <v>1035800</v>
      </c>
      <c r="S91" s="18">
        <v>197</v>
      </c>
      <c r="T91" s="13">
        <f>IF(TRIM(S91)="-", "-", S91*'ราคาต้นทุน (Asset)'!$B$30)</f>
        <v>591000</v>
      </c>
      <c r="U91" s="13">
        <f t="shared" si="3"/>
        <v>3520800</v>
      </c>
    </row>
    <row r="92" spans="1:21" ht="24">
      <c r="A92" s="15">
        <v>628</v>
      </c>
      <c r="B92" s="16" t="s">
        <v>281</v>
      </c>
      <c r="C92" s="18">
        <v>783</v>
      </c>
      <c r="D92" s="13">
        <f>IF(TRIM(C92)="-", "-", C92*'ราคาต้นทุน (Asset)'!$B$8)</f>
        <v>391500</v>
      </c>
      <c r="E92" s="18">
        <v>315</v>
      </c>
      <c r="F92" s="13">
        <f>IF(TRIM(E92)="-", "-", E92*'ราคาต้นทุน (Asset)'!$B$9)</f>
        <v>63000</v>
      </c>
      <c r="G92" s="18">
        <v>21</v>
      </c>
      <c r="H92" s="13">
        <f>IF(TRIM(G92)="-", "-", G92*'ราคาต้นทุน (Asset)'!$B$11)</f>
        <v>10500</v>
      </c>
      <c r="I92" s="18">
        <v>13</v>
      </c>
      <c r="J92" s="13">
        <f>IF(TRIM(I92)="-", "-", I92*'ราคาต้นทุน (Asset)'!$B$19)</f>
        <v>65000</v>
      </c>
      <c r="K92" s="18">
        <v>18</v>
      </c>
      <c r="L92" s="13">
        <f>IF(TRIM(K92)="-", "-", K92*'ราคาต้นทุน (Asset)'!$B$24)</f>
        <v>720000</v>
      </c>
      <c r="M92" s="18" t="s">
        <v>475</v>
      </c>
      <c r="N92" s="13" t="str">
        <f>IF(TRIM(M92)="-", "-", M92*'ราคาต้นทุน (Asset)'!$B$25)</f>
        <v>-</v>
      </c>
      <c r="O92" s="18">
        <v>93</v>
      </c>
      <c r="P92" s="13">
        <f>IF(TRIM(O92)="-", "-", O92*'ราคาต้นทุน (Asset)'!$B$26)</f>
        <v>46500</v>
      </c>
      <c r="Q92" s="17">
        <v>4214</v>
      </c>
      <c r="R92" s="13">
        <f>IF(TRIM(Q92)="-", "-", Q92*'ราคาต้นทุน (Asset)'!$B$28)</f>
        <v>421400</v>
      </c>
      <c r="S92" s="18">
        <v>215</v>
      </c>
      <c r="T92" s="13">
        <f>IF(TRIM(S92)="-", "-", S92*'ราคาต้นทุน (Asset)'!$B$30)</f>
        <v>645000</v>
      </c>
      <c r="U92" s="13">
        <f t="shared" si="3"/>
        <v>2362900</v>
      </c>
    </row>
    <row r="93" spans="1:21" ht="24">
      <c r="A93" s="15">
        <v>629</v>
      </c>
      <c r="B93" s="16" t="s">
        <v>264</v>
      </c>
      <c r="C93" s="18">
        <v>985</v>
      </c>
      <c r="D93" s="13">
        <f>IF(TRIM(C93)="-", "-", C93*'ราคาต้นทุน (Asset)'!$B$8)</f>
        <v>492500</v>
      </c>
      <c r="E93" s="18" t="s">
        <v>475</v>
      </c>
      <c r="F93" s="13" t="str">
        <f>IF(TRIM(E93)="-", "-", E93*'ราคาต้นทุน (Asset)'!$B$9)</f>
        <v>-</v>
      </c>
      <c r="G93" s="18">
        <v>52</v>
      </c>
      <c r="H93" s="13">
        <f>IF(TRIM(G93)="-", "-", G93*'ราคาต้นทุน (Asset)'!$B$11)</f>
        <v>26000</v>
      </c>
      <c r="I93" s="18">
        <v>19</v>
      </c>
      <c r="J93" s="13">
        <f>IF(TRIM(I93)="-", "-", I93*'ราคาต้นทุน (Asset)'!$B$19)</f>
        <v>95000</v>
      </c>
      <c r="K93" s="18">
        <v>15</v>
      </c>
      <c r="L93" s="13">
        <f>IF(TRIM(K93)="-", "-", K93*'ราคาต้นทุน (Asset)'!$B$24)</f>
        <v>600000</v>
      </c>
      <c r="M93" s="18" t="s">
        <v>475</v>
      </c>
      <c r="N93" s="13" t="str">
        <f>IF(TRIM(M93)="-", "-", M93*'ราคาต้นทุน (Asset)'!$B$25)</f>
        <v>-</v>
      </c>
      <c r="O93" s="18">
        <v>177</v>
      </c>
      <c r="P93" s="13">
        <f>IF(TRIM(O93)="-", "-", O93*'ราคาต้นทุน (Asset)'!$B$26)</f>
        <v>88500</v>
      </c>
      <c r="Q93" s="17">
        <v>7077</v>
      </c>
      <c r="R93" s="13">
        <f>IF(TRIM(Q93)="-", "-", Q93*'ราคาต้นทุน (Asset)'!$B$28)</f>
        <v>707700</v>
      </c>
      <c r="S93" s="18">
        <v>183</v>
      </c>
      <c r="T93" s="13">
        <f>IF(TRIM(S93)="-", "-", S93*'ราคาต้นทุน (Asset)'!$B$30)</f>
        <v>549000</v>
      </c>
      <c r="U93" s="13">
        <f t="shared" si="3"/>
        <v>2558700</v>
      </c>
    </row>
    <row r="94" spans="1:21" ht="24">
      <c r="A94" s="15">
        <v>631</v>
      </c>
      <c r="B94" s="16" t="s">
        <v>246</v>
      </c>
      <c r="C94" s="18">
        <v>755</v>
      </c>
      <c r="D94" s="13">
        <f>IF(TRIM(C94)="-", "-", C94*'ราคาต้นทุน (Asset)'!$B$8)</f>
        <v>377500</v>
      </c>
      <c r="E94" s="17">
        <v>1263</v>
      </c>
      <c r="F94" s="13">
        <f>IF(TRIM(E94)="-", "-", E94*'ราคาต้นทุน (Asset)'!$B$9)</f>
        <v>252600</v>
      </c>
      <c r="G94" s="18">
        <v>32</v>
      </c>
      <c r="H94" s="13">
        <f>IF(TRIM(G94)="-", "-", G94*'ราคาต้นทุน (Asset)'!$B$11)</f>
        <v>16000</v>
      </c>
      <c r="I94" s="18">
        <v>14</v>
      </c>
      <c r="J94" s="13">
        <f>IF(TRIM(I94)="-", "-", I94*'ราคาต้นทุน (Asset)'!$B$19)</f>
        <v>70000</v>
      </c>
      <c r="K94" s="18">
        <v>11</v>
      </c>
      <c r="L94" s="13">
        <f>IF(TRIM(K94)="-", "-", K94*'ราคาต้นทุน (Asset)'!$B$24)</f>
        <v>440000</v>
      </c>
      <c r="M94" s="18">
        <v>1</v>
      </c>
      <c r="N94" s="13">
        <f>IF(TRIM(M94)="-", "-", M94*'ราคาต้นทุน (Asset)'!$B$25)</f>
        <v>500</v>
      </c>
      <c r="O94" s="18">
        <v>348</v>
      </c>
      <c r="P94" s="13">
        <f>IF(TRIM(O94)="-", "-", O94*'ราคาต้นทุน (Asset)'!$B$26)</f>
        <v>174000</v>
      </c>
      <c r="Q94" s="17">
        <v>10070</v>
      </c>
      <c r="R94" s="13">
        <f>IF(TRIM(Q94)="-", "-", Q94*'ราคาต้นทุน (Asset)'!$B$28)</f>
        <v>1007000</v>
      </c>
      <c r="S94" s="18">
        <v>186</v>
      </c>
      <c r="T94" s="13">
        <f>IF(TRIM(S94)="-", "-", S94*'ราคาต้นทุน (Asset)'!$B$30)</f>
        <v>558000</v>
      </c>
      <c r="U94" s="13">
        <f t="shared" si="3"/>
        <v>2895600</v>
      </c>
    </row>
    <row r="95" spans="1:21" ht="24">
      <c r="A95" s="15">
        <v>632</v>
      </c>
      <c r="B95" s="16" t="s">
        <v>250</v>
      </c>
      <c r="C95" s="18">
        <v>680</v>
      </c>
      <c r="D95" s="13">
        <f>IF(TRIM(C95)="-", "-", C95*'ราคาต้นทุน (Asset)'!$B$8)</f>
        <v>340000</v>
      </c>
      <c r="E95" s="18">
        <v>626</v>
      </c>
      <c r="F95" s="13">
        <f>IF(TRIM(E95)="-", "-", E95*'ราคาต้นทุน (Asset)'!$B$9)</f>
        <v>125200</v>
      </c>
      <c r="G95" s="18">
        <v>43</v>
      </c>
      <c r="H95" s="13">
        <f>IF(TRIM(G95)="-", "-", G95*'ราคาต้นทุน (Asset)'!$B$11)</f>
        <v>21500</v>
      </c>
      <c r="I95" s="18">
        <v>6</v>
      </c>
      <c r="J95" s="13">
        <f>IF(TRIM(I95)="-", "-", I95*'ราคาต้นทุน (Asset)'!$B$19)</f>
        <v>30000</v>
      </c>
      <c r="K95" s="18">
        <v>22</v>
      </c>
      <c r="L95" s="13">
        <f>IF(TRIM(K95)="-", "-", K95*'ราคาต้นทุน (Asset)'!$B$24)</f>
        <v>880000</v>
      </c>
      <c r="M95" s="18" t="s">
        <v>475</v>
      </c>
      <c r="N95" s="13" t="str">
        <f>IF(TRIM(M95)="-", "-", M95*'ราคาต้นทุน (Asset)'!$B$25)</f>
        <v>-</v>
      </c>
      <c r="O95" s="18">
        <v>258</v>
      </c>
      <c r="P95" s="13">
        <f>IF(TRIM(O95)="-", "-", O95*'ราคาต้นทุน (Asset)'!$B$26)</f>
        <v>129000</v>
      </c>
      <c r="Q95" s="17">
        <v>8102</v>
      </c>
      <c r="R95" s="13">
        <f>IF(TRIM(Q95)="-", "-", Q95*'ราคาต้นทุน (Asset)'!$B$28)</f>
        <v>810200</v>
      </c>
      <c r="S95" s="18">
        <v>273</v>
      </c>
      <c r="T95" s="13">
        <f>IF(TRIM(S95)="-", "-", S95*'ราคาต้นทุน (Asset)'!$B$30)</f>
        <v>819000</v>
      </c>
      <c r="U95" s="13">
        <f t="shared" si="3"/>
        <v>3154900</v>
      </c>
    </row>
    <row r="96" spans="1:21" ht="24">
      <c r="A96" s="15">
        <v>633</v>
      </c>
      <c r="B96" s="16" t="s">
        <v>232</v>
      </c>
      <c r="C96" s="18">
        <v>838</v>
      </c>
      <c r="D96" s="13">
        <f>IF(TRIM(C96)="-", "-", C96*'ราคาต้นทุน (Asset)'!$B$8)</f>
        <v>419000</v>
      </c>
      <c r="E96" s="18">
        <v>727</v>
      </c>
      <c r="F96" s="13">
        <f>IF(TRIM(E96)="-", "-", E96*'ราคาต้นทุน (Asset)'!$B$9)</f>
        <v>145400</v>
      </c>
      <c r="G96" s="18">
        <v>29</v>
      </c>
      <c r="H96" s="13">
        <f>IF(TRIM(G96)="-", "-", G96*'ราคาต้นทุน (Asset)'!$B$11)</f>
        <v>14500</v>
      </c>
      <c r="I96" s="18">
        <v>10</v>
      </c>
      <c r="J96" s="13">
        <f>IF(TRIM(I96)="-", "-", I96*'ราคาต้นทุน (Asset)'!$B$19)</f>
        <v>50000</v>
      </c>
      <c r="K96" s="18">
        <v>24</v>
      </c>
      <c r="L96" s="13">
        <f>IF(TRIM(K96)="-", "-", K96*'ราคาต้นทุน (Asset)'!$B$24)</f>
        <v>960000</v>
      </c>
      <c r="M96" s="18" t="s">
        <v>475</v>
      </c>
      <c r="N96" s="13" t="str">
        <f>IF(TRIM(M96)="-", "-", M96*'ราคาต้นทุน (Asset)'!$B$25)</f>
        <v>-</v>
      </c>
      <c r="O96" s="18">
        <v>2</v>
      </c>
      <c r="P96" s="13">
        <f>IF(TRIM(O96)="-", "-", O96*'ราคาต้นทุน (Asset)'!$B$26)</f>
        <v>1000</v>
      </c>
      <c r="Q96" s="17">
        <v>11529</v>
      </c>
      <c r="R96" s="13">
        <f>IF(TRIM(Q96)="-", "-", Q96*'ราคาต้นทุน (Asset)'!$B$28)</f>
        <v>1152900</v>
      </c>
      <c r="S96" s="18">
        <v>357</v>
      </c>
      <c r="T96" s="13">
        <f>IF(TRIM(S96)="-", "-", S96*'ราคาต้นทุน (Asset)'!$B$30)</f>
        <v>1071000</v>
      </c>
      <c r="U96" s="13">
        <f t="shared" si="3"/>
        <v>3813800</v>
      </c>
    </row>
    <row r="97" spans="1:21" ht="24">
      <c r="A97" s="15">
        <v>634</v>
      </c>
      <c r="B97" s="16" t="s">
        <v>222</v>
      </c>
      <c r="C97" s="18">
        <v>731</v>
      </c>
      <c r="D97" s="13">
        <f>IF(TRIM(C97)="-", "-", C97*'ราคาต้นทุน (Asset)'!$B$8)</f>
        <v>365500</v>
      </c>
      <c r="E97" s="17">
        <v>2924</v>
      </c>
      <c r="F97" s="13">
        <f>IF(TRIM(E97)="-", "-", E97*'ราคาต้นทุน (Asset)'!$B$9)</f>
        <v>584800</v>
      </c>
      <c r="G97" s="18">
        <v>45</v>
      </c>
      <c r="H97" s="13">
        <f>IF(TRIM(G97)="-", "-", G97*'ราคาต้นทุน (Asset)'!$B$11)</f>
        <v>22500</v>
      </c>
      <c r="I97" s="18">
        <v>10</v>
      </c>
      <c r="J97" s="13">
        <f>IF(TRIM(I97)="-", "-", I97*'ราคาต้นทุน (Asset)'!$B$19)</f>
        <v>50000</v>
      </c>
      <c r="K97" s="18">
        <v>26</v>
      </c>
      <c r="L97" s="13">
        <f>IF(TRIM(K97)="-", "-", K97*'ราคาต้นทุน (Asset)'!$B$24)</f>
        <v>1040000</v>
      </c>
      <c r="M97" s="18" t="s">
        <v>475</v>
      </c>
      <c r="N97" s="13" t="str">
        <f>IF(TRIM(M97)="-", "-", M97*'ราคาต้นทุน (Asset)'!$B$25)</f>
        <v>-</v>
      </c>
      <c r="O97" s="18">
        <v>498</v>
      </c>
      <c r="P97" s="13">
        <f>IF(TRIM(O97)="-", "-", O97*'ราคาต้นทุน (Asset)'!$B$26)</f>
        <v>249000</v>
      </c>
      <c r="Q97" s="17">
        <v>8671</v>
      </c>
      <c r="R97" s="13">
        <f>IF(TRIM(Q97)="-", "-", Q97*'ราคาต้นทุน (Asset)'!$B$28)</f>
        <v>867100</v>
      </c>
      <c r="S97" s="18">
        <v>242</v>
      </c>
      <c r="T97" s="13">
        <f>IF(TRIM(S97)="-", "-", S97*'ราคาต้นทุน (Asset)'!$B$30)</f>
        <v>726000</v>
      </c>
      <c r="U97" s="13">
        <f t="shared" si="3"/>
        <v>3904900</v>
      </c>
    </row>
    <row r="98" spans="1:21" ht="24">
      <c r="A98" s="15">
        <v>635</v>
      </c>
      <c r="B98" s="16" t="s">
        <v>200</v>
      </c>
      <c r="C98" s="18">
        <v>927</v>
      </c>
      <c r="D98" s="13">
        <f>IF(TRIM(C98)="-", "-", C98*'ราคาต้นทุน (Asset)'!$B$8)</f>
        <v>463500</v>
      </c>
      <c r="E98" s="18">
        <v>372</v>
      </c>
      <c r="F98" s="13">
        <f>IF(TRIM(E98)="-", "-", E98*'ราคาต้นทุน (Asset)'!$B$9)</f>
        <v>74400</v>
      </c>
      <c r="G98" s="18">
        <v>35</v>
      </c>
      <c r="H98" s="13">
        <f>IF(TRIM(G98)="-", "-", G98*'ราคาต้นทุน (Asset)'!$B$11)</f>
        <v>17500</v>
      </c>
      <c r="I98" s="18">
        <v>10</v>
      </c>
      <c r="J98" s="13">
        <f>IF(TRIM(I98)="-", "-", I98*'ราคาต้นทุน (Asset)'!$B$19)</f>
        <v>50000</v>
      </c>
      <c r="K98" s="18">
        <v>30</v>
      </c>
      <c r="L98" s="13">
        <f>IF(TRIM(K98)="-", "-", K98*'ราคาต้นทุน (Asset)'!$B$24)</f>
        <v>1200000</v>
      </c>
      <c r="M98" s="18" t="s">
        <v>475</v>
      </c>
      <c r="N98" s="13" t="str">
        <f>IF(TRIM(M98)="-", "-", M98*'ราคาต้นทุน (Asset)'!$B$25)</f>
        <v>-</v>
      </c>
      <c r="O98" s="18">
        <v>229</v>
      </c>
      <c r="P98" s="13">
        <f>IF(TRIM(O98)="-", "-", O98*'ราคาต้นทุน (Asset)'!$B$26)</f>
        <v>114500</v>
      </c>
      <c r="Q98" s="17">
        <v>13195</v>
      </c>
      <c r="R98" s="13">
        <f>IF(TRIM(Q98)="-", "-", Q98*'ราคาต้นทุน (Asset)'!$B$28)</f>
        <v>1319500</v>
      </c>
      <c r="S98" s="18">
        <v>276</v>
      </c>
      <c r="T98" s="13">
        <f>IF(TRIM(S98)="-", "-", S98*'ราคาต้นทุน (Asset)'!$B$30)</f>
        <v>828000</v>
      </c>
      <c r="U98" s="13">
        <f t="shared" si="3"/>
        <v>4067400</v>
      </c>
    </row>
    <row r="99" spans="1:21" ht="24">
      <c r="A99" s="15">
        <v>636</v>
      </c>
      <c r="B99" s="16" t="s">
        <v>245</v>
      </c>
      <c r="C99" s="18">
        <v>836</v>
      </c>
      <c r="D99" s="13">
        <f>IF(TRIM(C99)="-", "-", C99*'ราคาต้นทุน (Asset)'!$B$8)</f>
        <v>418000</v>
      </c>
      <c r="E99" s="18">
        <v>738</v>
      </c>
      <c r="F99" s="13">
        <f>IF(TRIM(E99)="-", "-", E99*'ราคาต้นทุน (Asset)'!$B$9)</f>
        <v>147600</v>
      </c>
      <c r="G99" s="18">
        <v>17</v>
      </c>
      <c r="H99" s="13">
        <f>IF(TRIM(G99)="-", "-", G99*'ราคาต้นทุน (Asset)'!$B$11)</f>
        <v>8500</v>
      </c>
      <c r="I99" s="18">
        <v>1</v>
      </c>
      <c r="J99" s="13">
        <f>IF(TRIM(I99)="-", "-", I99*'ราคาต้นทุน (Asset)'!$B$19)</f>
        <v>5000</v>
      </c>
      <c r="K99" s="18">
        <v>10</v>
      </c>
      <c r="L99" s="13">
        <f>IF(TRIM(K99)="-", "-", K99*'ราคาต้นทุน (Asset)'!$B$24)</f>
        <v>400000</v>
      </c>
      <c r="M99" s="18" t="s">
        <v>475</v>
      </c>
      <c r="N99" s="13" t="str">
        <f>IF(TRIM(M99)="-", "-", M99*'ราคาต้นทุน (Asset)'!$B$25)</f>
        <v>-</v>
      </c>
      <c r="O99" s="18">
        <v>119</v>
      </c>
      <c r="P99" s="13">
        <f>IF(TRIM(O99)="-", "-", O99*'ราคาต้นทุน (Asset)'!$B$26)</f>
        <v>59500</v>
      </c>
      <c r="Q99" s="17">
        <v>6984</v>
      </c>
      <c r="R99" s="13">
        <f>IF(TRIM(Q99)="-", "-", Q99*'ราคาต้นทุน (Asset)'!$B$28)</f>
        <v>698400</v>
      </c>
      <c r="S99" s="18">
        <v>240</v>
      </c>
      <c r="T99" s="13">
        <f>IF(TRIM(S99)="-", "-", S99*'ราคาต้นทุน (Asset)'!$B$30)</f>
        <v>720000</v>
      </c>
      <c r="U99" s="13">
        <f t="shared" si="3"/>
        <v>2457000</v>
      </c>
    </row>
    <row r="100" spans="1:21" ht="24">
      <c r="A100" s="15">
        <v>638</v>
      </c>
      <c r="B100" s="16" t="s">
        <v>228</v>
      </c>
      <c r="C100" s="18">
        <v>974</v>
      </c>
      <c r="D100" s="13">
        <f>IF(TRIM(C100)="-", "-", C100*'ราคาต้นทุน (Asset)'!$B$8)</f>
        <v>487000</v>
      </c>
      <c r="E100" s="18">
        <v>57</v>
      </c>
      <c r="F100" s="13">
        <f>IF(TRIM(E100)="-", "-", E100*'ราคาต้นทุน (Asset)'!$B$9)</f>
        <v>11400</v>
      </c>
      <c r="G100" s="18">
        <v>17</v>
      </c>
      <c r="H100" s="13">
        <f>IF(TRIM(G100)="-", "-", G100*'ราคาต้นทุน (Asset)'!$B$11)</f>
        <v>8500</v>
      </c>
      <c r="I100" s="18">
        <v>1</v>
      </c>
      <c r="J100" s="13">
        <f>IF(TRIM(I100)="-", "-", I100*'ราคาต้นทุน (Asset)'!$B$19)</f>
        <v>5000</v>
      </c>
      <c r="K100" s="18">
        <v>26</v>
      </c>
      <c r="L100" s="13">
        <f>IF(TRIM(K100)="-", "-", K100*'ราคาต้นทุน (Asset)'!$B$24)</f>
        <v>1040000</v>
      </c>
      <c r="M100" s="18">
        <v>1</v>
      </c>
      <c r="N100" s="13">
        <f>IF(TRIM(M100)="-", "-", M100*'ราคาต้นทุน (Asset)'!$B$25)</f>
        <v>500</v>
      </c>
      <c r="O100" s="18">
        <v>95</v>
      </c>
      <c r="P100" s="13">
        <f>IF(TRIM(O100)="-", "-", O100*'ราคาต้นทุน (Asset)'!$B$26)</f>
        <v>47500</v>
      </c>
      <c r="Q100" s="17">
        <v>8196</v>
      </c>
      <c r="R100" s="13">
        <f>IF(TRIM(Q100)="-", "-", Q100*'ราคาต้นทุน (Asset)'!$B$28)</f>
        <v>819600</v>
      </c>
      <c r="S100" s="18">
        <v>215</v>
      </c>
      <c r="T100" s="13">
        <f>IF(TRIM(S100)="-", "-", S100*'ราคาต้นทุน (Asset)'!$B$30)</f>
        <v>645000</v>
      </c>
      <c r="U100" s="13">
        <f t="shared" ref="U100:U107" si="4">SUM(D100,F100,H100,J100,L100,N100,P100,R100,T100)</f>
        <v>3064500</v>
      </c>
    </row>
    <row r="101" spans="1:21" ht="24">
      <c r="A101" s="15">
        <v>639</v>
      </c>
      <c r="B101" s="16" t="s">
        <v>229</v>
      </c>
      <c r="C101" s="18">
        <v>974</v>
      </c>
      <c r="D101" s="13">
        <f>IF(TRIM(C101)="-", "-", C101*'ราคาต้นทุน (Asset)'!$B$8)</f>
        <v>487000</v>
      </c>
      <c r="E101" s="17">
        <v>2142</v>
      </c>
      <c r="F101" s="13">
        <f>IF(TRIM(E101)="-", "-", E101*'ราคาต้นทุน (Asset)'!$B$9)</f>
        <v>428400</v>
      </c>
      <c r="G101" s="18">
        <v>43</v>
      </c>
      <c r="H101" s="13">
        <f>IF(TRIM(G101)="-", "-", G101*'ราคาต้นทุน (Asset)'!$B$11)</f>
        <v>21500</v>
      </c>
      <c r="I101" s="18">
        <v>15</v>
      </c>
      <c r="J101" s="13">
        <f>IF(TRIM(I101)="-", "-", I101*'ราคาต้นทุน (Asset)'!$B$19)</f>
        <v>75000</v>
      </c>
      <c r="K101" s="18">
        <v>24</v>
      </c>
      <c r="L101" s="13">
        <f>IF(TRIM(K101)="-", "-", K101*'ราคาต้นทุน (Asset)'!$B$24)</f>
        <v>960000</v>
      </c>
      <c r="M101" s="18" t="s">
        <v>475</v>
      </c>
      <c r="N101" s="13" t="str">
        <f>IF(TRIM(M101)="-", "-", M101*'ราคาต้นทุน (Asset)'!$B$25)</f>
        <v>-</v>
      </c>
      <c r="O101" s="18">
        <v>402</v>
      </c>
      <c r="P101" s="13">
        <f>IF(TRIM(O101)="-", "-", O101*'ราคาต้นทุน (Asset)'!$B$26)</f>
        <v>201000</v>
      </c>
      <c r="Q101" s="17">
        <v>5966</v>
      </c>
      <c r="R101" s="13">
        <f>IF(TRIM(Q101)="-", "-", Q101*'ราคาต้นทุน (Asset)'!$B$28)</f>
        <v>596600</v>
      </c>
      <c r="S101" s="18">
        <v>272</v>
      </c>
      <c r="T101" s="13">
        <f>IF(TRIM(S101)="-", "-", S101*'ราคาต้นทุน (Asset)'!$B$30)</f>
        <v>816000</v>
      </c>
      <c r="U101" s="13">
        <f t="shared" si="4"/>
        <v>3585500</v>
      </c>
    </row>
    <row r="102" spans="1:21" ht="24">
      <c r="A102" s="15">
        <v>641</v>
      </c>
      <c r="B102" s="16" t="s">
        <v>224</v>
      </c>
      <c r="C102" s="17">
        <v>1102</v>
      </c>
      <c r="D102" s="13">
        <f>IF(TRIM(C102)="-", "-", C102*'ราคาต้นทุน (Asset)'!$B$8)</f>
        <v>551000</v>
      </c>
      <c r="E102" s="17">
        <v>3555</v>
      </c>
      <c r="F102" s="13">
        <f>IF(TRIM(E102)="-", "-", E102*'ราคาต้นทุน (Asset)'!$B$9)</f>
        <v>711000</v>
      </c>
      <c r="G102" s="18">
        <v>43</v>
      </c>
      <c r="H102" s="13">
        <f>IF(TRIM(G102)="-", "-", G102*'ราคาต้นทุน (Asset)'!$B$11)</f>
        <v>21500</v>
      </c>
      <c r="I102" s="18">
        <v>20</v>
      </c>
      <c r="J102" s="13">
        <f>IF(TRIM(I102)="-", "-", I102*'ราคาต้นทุน (Asset)'!$B$19)</f>
        <v>100000</v>
      </c>
      <c r="K102" s="18">
        <v>34</v>
      </c>
      <c r="L102" s="13">
        <f>IF(TRIM(K102)="-", "-", K102*'ราคาต้นทุน (Asset)'!$B$24)</f>
        <v>1360000</v>
      </c>
      <c r="M102" s="18">
        <v>3</v>
      </c>
      <c r="N102" s="13">
        <f>IF(TRIM(M102)="-", "-", M102*'ราคาต้นทุน (Asset)'!$B$25)</f>
        <v>1500</v>
      </c>
      <c r="O102" s="18">
        <v>287</v>
      </c>
      <c r="P102" s="13">
        <f>IF(TRIM(O102)="-", "-", O102*'ราคาต้นทุน (Asset)'!$B$26)</f>
        <v>143500</v>
      </c>
      <c r="Q102" s="17">
        <v>8929</v>
      </c>
      <c r="R102" s="13">
        <f>IF(TRIM(Q102)="-", "-", Q102*'ราคาต้นทุน (Asset)'!$B$28)</f>
        <v>892900</v>
      </c>
      <c r="S102" s="18">
        <v>273</v>
      </c>
      <c r="T102" s="13">
        <f>IF(TRIM(S102)="-", "-", S102*'ราคาต้นทุน (Asset)'!$B$30)</f>
        <v>819000</v>
      </c>
      <c r="U102" s="13">
        <f t="shared" si="4"/>
        <v>4600400</v>
      </c>
    </row>
    <row r="103" spans="1:21" ht="24">
      <c r="A103" s="15">
        <v>642</v>
      </c>
      <c r="B103" s="16" t="s">
        <v>288</v>
      </c>
      <c r="C103" s="18">
        <v>802</v>
      </c>
      <c r="D103" s="13">
        <f>IF(TRIM(C103)="-", "-", C103*'ราคาต้นทุน (Asset)'!$B$8)</f>
        <v>401000</v>
      </c>
      <c r="E103" s="17">
        <v>3052</v>
      </c>
      <c r="F103" s="13">
        <f>IF(TRIM(E103)="-", "-", E103*'ราคาต้นทุน (Asset)'!$B$9)</f>
        <v>610400</v>
      </c>
      <c r="G103" s="18">
        <v>75</v>
      </c>
      <c r="H103" s="13">
        <f>IF(TRIM(G103)="-", "-", G103*'ราคาต้นทุน (Asset)'!$B$11)</f>
        <v>37500</v>
      </c>
      <c r="I103" s="18">
        <v>14</v>
      </c>
      <c r="J103" s="13">
        <f>IF(TRIM(I103)="-", "-", I103*'ราคาต้นทุน (Asset)'!$B$19)</f>
        <v>70000</v>
      </c>
      <c r="K103" s="18">
        <v>13</v>
      </c>
      <c r="L103" s="13">
        <f>IF(TRIM(K103)="-", "-", K103*'ราคาต้นทุน (Asset)'!$B$24)</f>
        <v>520000</v>
      </c>
      <c r="M103" s="18" t="s">
        <v>475</v>
      </c>
      <c r="N103" s="13" t="str">
        <f>IF(TRIM(M103)="-", "-", M103*'ราคาต้นทุน (Asset)'!$B$25)</f>
        <v>-</v>
      </c>
      <c r="O103" s="18">
        <v>201</v>
      </c>
      <c r="P103" s="13">
        <f>IF(TRIM(O103)="-", "-", O103*'ราคาต้นทุน (Asset)'!$B$26)</f>
        <v>100500</v>
      </c>
      <c r="Q103" s="17">
        <v>4685</v>
      </c>
      <c r="R103" s="13">
        <f>IF(TRIM(Q103)="-", "-", Q103*'ราคาต้นทุน (Asset)'!$B$28)</f>
        <v>468500</v>
      </c>
      <c r="S103" s="18">
        <v>155</v>
      </c>
      <c r="T103" s="13">
        <f>IF(TRIM(S103)="-", "-", S103*'ราคาต้นทุน (Asset)'!$B$30)</f>
        <v>465000</v>
      </c>
      <c r="U103" s="13">
        <f t="shared" si="4"/>
        <v>2672900</v>
      </c>
    </row>
    <row r="104" spans="1:21" ht="24">
      <c r="A104" s="15">
        <v>643</v>
      </c>
      <c r="B104" s="16" t="s">
        <v>251</v>
      </c>
      <c r="C104" s="17">
        <v>1085</v>
      </c>
      <c r="D104" s="13">
        <f>IF(TRIM(C104)="-", "-", C104*'ราคาต้นทุน (Asset)'!$B$8)</f>
        <v>542500</v>
      </c>
      <c r="E104" s="18">
        <v>384</v>
      </c>
      <c r="F104" s="13">
        <f>IF(TRIM(E104)="-", "-", E104*'ราคาต้นทุน (Asset)'!$B$9)</f>
        <v>76800</v>
      </c>
      <c r="G104" s="18">
        <v>59</v>
      </c>
      <c r="H104" s="13">
        <f>IF(TRIM(G104)="-", "-", G104*'ราคาต้นทุน (Asset)'!$B$11)</f>
        <v>29500</v>
      </c>
      <c r="I104" s="18">
        <v>3</v>
      </c>
      <c r="J104" s="13">
        <f>IF(TRIM(I104)="-", "-", I104*'ราคาต้นทุน (Asset)'!$B$19)</f>
        <v>15000</v>
      </c>
      <c r="K104" s="18">
        <v>16</v>
      </c>
      <c r="L104" s="13">
        <f>IF(TRIM(K104)="-", "-", K104*'ราคาต้นทุน (Asset)'!$B$24)</f>
        <v>640000</v>
      </c>
      <c r="M104" s="18">
        <v>1</v>
      </c>
      <c r="N104" s="13">
        <f>IF(TRIM(M104)="-", "-", M104*'ราคาต้นทุน (Asset)'!$B$25)</f>
        <v>500</v>
      </c>
      <c r="O104" s="18">
        <v>175</v>
      </c>
      <c r="P104" s="13">
        <f>IF(TRIM(O104)="-", "-", O104*'ราคาต้นทุน (Asset)'!$B$26)</f>
        <v>87500</v>
      </c>
      <c r="Q104" s="17">
        <v>9080</v>
      </c>
      <c r="R104" s="13">
        <f>IF(TRIM(Q104)="-", "-", Q104*'ราคาต้นทุน (Asset)'!$B$28)</f>
        <v>908000</v>
      </c>
      <c r="S104" s="18">
        <v>163</v>
      </c>
      <c r="T104" s="13">
        <f>IF(TRIM(S104)="-", "-", S104*'ราคาต้นทุน (Asset)'!$B$30)</f>
        <v>489000</v>
      </c>
      <c r="U104" s="13">
        <f t="shared" si="4"/>
        <v>2788800</v>
      </c>
    </row>
    <row r="105" spans="1:21" ht="24">
      <c r="A105" s="15">
        <v>644</v>
      </c>
      <c r="B105" s="16" t="s">
        <v>202</v>
      </c>
      <c r="C105" s="18">
        <v>840</v>
      </c>
      <c r="D105" s="13">
        <f>IF(TRIM(C105)="-", "-", C105*'ราคาต้นทุน (Asset)'!$B$8)</f>
        <v>420000</v>
      </c>
      <c r="E105" s="17">
        <v>2548</v>
      </c>
      <c r="F105" s="13">
        <f>IF(TRIM(E105)="-", "-", E105*'ราคาต้นทุน (Asset)'!$B$9)</f>
        <v>509600</v>
      </c>
      <c r="G105" s="18">
        <v>47</v>
      </c>
      <c r="H105" s="13">
        <f>IF(TRIM(G105)="-", "-", G105*'ราคาต้นทุน (Asset)'!$B$11)</f>
        <v>23500</v>
      </c>
      <c r="I105" s="18">
        <v>7</v>
      </c>
      <c r="J105" s="13">
        <f>IF(TRIM(I105)="-", "-", I105*'ราคาต้นทุน (Asset)'!$B$19)</f>
        <v>35000</v>
      </c>
      <c r="K105" s="18">
        <v>29</v>
      </c>
      <c r="L105" s="13">
        <f>IF(TRIM(K105)="-", "-", K105*'ราคาต้นทุน (Asset)'!$B$24)</f>
        <v>1160000</v>
      </c>
      <c r="M105" s="18" t="s">
        <v>475</v>
      </c>
      <c r="N105" s="13" t="str">
        <f>IF(TRIM(M105)="-", "-", M105*'ราคาต้นทุน (Asset)'!$B$25)</f>
        <v>-</v>
      </c>
      <c r="O105" s="18">
        <v>317</v>
      </c>
      <c r="P105" s="13">
        <f>IF(TRIM(O105)="-", "-", O105*'ราคาต้นทุน (Asset)'!$B$26)</f>
        <v>158500</v>
      </c>
      <c r="Q105" s="17">
        <v>9932</v>
      </c>
      <c r="R105" s="13">
        <f>IF(TRIM(Q105)="-", "-", Q105*'ราคาต้นทุน (Asset)'!$B$28)</f>
        <v>993200</v>
      </c>
      <c r="S105" s="18">
        <v>237</v>
      </c>
      <c r="T105" s="13">
        <f>IF(TRIM(S105)="-", "-", S105*'ราคาต้นทุน (Asset)'!$B$30)</f>
        <v>711000</v>
      </c>
      <c r="U105" s="13">
        <f t="shared" si="4"/>
        <v>4010800</v>
      </c>
    </row>
    <row r="106" spans="1:21" ht="24">
      <c r="A106" s="15">
        <v>646</v>
      </c>
      <c r="B106" s="16" t="s">
        <v>241</v>
      </c>
      <c r="C106" s="18">
        <v>822</v>
      </c>
      <c r="D106" s="13">
        <f>IF(TRIM(C106)="-", "-", C106*'ราคาต้นทุน (Asset)'!$B$8)</f>
        <v>411000</v>
      </c>
      <c r="E106" s="17">
        <v>1959</v>
      </c>
      <c r="F106" s="13">
        <f>IF(TRIM(E106)="-", "-", E106*'ราคาต้นทุน (Asset)'!$B$9)</f>
        <v>391800</v>
      </c>
      <c r="G106" s="18">
        <v>40</v>
      </c>
      <c r="H106" s="13">
        <f>IF(TRIM(G106)="-", "-", G106*'ราคาต้นทุน (Asset)'!$B$11)</f>
        <v>20000</v>
      </c>
      <c r="I106" s="18">
        <v>12</v>
      </c>
      <c r="J106" s="13">
        <f>IF(TRIM(I106)="-", "-", I106*'ราคาต้นทุน (Asset)'!$B$19)</f>
        <v>60000</v>
      </c>
      <c r="K106" s="18">
        <v>24</v>
      </c>
      <c r="L106" s="13">
        <f>IF(TRIM(K106)="-", "-", K106*'ราคาต้นทุน (Asset)'!$B$24)</f>
        <v>960000</v>
      </c>
      <c r="M106" s="18" t="s">
        <v>475</v>
      </c>
      <c r="N106" s="13" t="str">
        <f>IF(TRIM(M106)="-", "-", M106*'ราคาต้นทุน (Asset)'!$B$25)</f>
        <v>-</v>
      </c>
      <c r="O106" s="18">
        <v>191</v>
      </c>
      <c r="P106" s="13">
        <f>IF(TRIM(O106)="-", "-", O106*'ราคาต้นทุน (Asset)'!$B$26)</f>
        <v>95500</v>
      </c>
      <c r="Q106" s="17">
        <v>9843</v>
      </c>
      <c r="R106" s="13">
        <f>IF(TRIM(Q106)="-", "-", Q106*'ราคาต้นทุน (Asset)'!$B$28)</f>
        <v>984300</v>
      </c>
      <c r="S106" s="18">
        <v>224</v>
      </c>
      <c r="T106" s="13">
        <f>IF(TRIM(S106)="-", "-", S106*'ราคาต้นทุน (Asset)'!$B$30)</f>
        <v>672000</v>
      </c>
      <c r="U106" s="13">
        <f t="shared" si="4"/>
        <v>3594600</v>
      </c>
    </row>
    <row r="107" spans="1:21" ht="24">
      <c r="A107" s="38">
        <v>647</v>
      </c>
      <c r="B107" s="19" t="s">
        <v>189</v>
      </c>
      <c r="C107" s="45">
        <v>1140</v>
      </c>
      <c r="D107" s="13">
        <f>IF(TRIM(C107)="-", "-", C107*'ราคาต้นทุน (Asset)'!$B$8)</f>
        <v>570000</v>
      </c>
      <c r="E107" s="44">
        <v>283</v>
      </c>
      <c r="F107" s="13">
        <f>IF(TRIM(E107)="-", "-", E107*'ราคาต้นทุน (Asset)'!$B$9)</f>
        <v>56600</v>
      </c>
      <c r="G107" s="44">
        <v>68</v>
      </c>
      <c r="H107" s="13">
        <f>IF(TRIM(G107)="-", "-", G107*'ราคาต้นทุน (Asset)'!$B$11)</f>
        <v>34000</v>
      </c>
      <c r="I107" s="44">
        <v>4</v>
      </c>
      <c r="J107" s="13">
        <f>IF(TRIM(I107)="-", "-", I107*'ราคาต้นทุน (Asset)'!$B$19)</f>
        <v>20000</v>
      </c>
      <c r="K107" s="44">
        <v>36</v>
      </c>
      <c r="L107" s="13">
        <f>IF(TRIM(K107)="-", "-", K107*'ราคาต้นทุน (Asset)'!$B$24)</f>
        <v>1440000</v>
      </c>
      <c r="M107" s="44" t="s">
        <v>475</v>
      </c>
      <c r="N107" s="13" t="str">
        <f>IF(TRIM(M107)="-", "-", M107*'ราคาต้นทุน (Asset)'!$B$25)</f>
        <v>-</v>
      </c>
      <c r="O107" s="44">
        <v>458</v>
      </c>
      <c r="P107" s="13">
        <f>IF(TRIM(O107)="-", "-", O107*'ราคาต้นทุน (Asset)'!$B$26)</f>
        <v>229000</v>
      </c>
      <c r="Q107" s="45">
        <v>11066</v>
      </c>
      <c r="R107" s="13">
        <f>IF(TRIM(Q107)="-", "-", Q107*'ราคาต้นทุน (Asset)'!$B$28)</f>
        <v>1106600</v>
      </c>
      <c r="S107" s="44">
        <v>211</v>
      </c>
      <c r="T107" s="13">
        <f>IF(TRIM(S107)="-", "-", S107*'ราคาต้นทุน (Asset)'!$B$30)</f>
        <v>633000</v>
      </c>
      <c r="U107" s="13">
        <f t="shared" si="4"/>
        <v>4089200</v>
      </c>
    </row>
  </sheetData>
  <sortState xmlns:xlrd2="http://schemas.microsoft.com/office/spreadsheetml/2017/richdata2" ref="A4:U107">
    <sortCondition ref="A4:A1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34FC-8EE4-430F-BC08-9D5588775E58}">
  <dimension ref="A1:I311"/>
  <sheetViews>
    <sheetView workbookViewId="0">
      <selection activeCell="H6" sqref="H6"/>
    </sheetView>
  </sheetViews>
  <sheetFormatPr defaultRowHeight="15"/>
  <cols>
    <col min="2" max="3" width="19.7109375" customWidth="1"/>
    <col min="4" max="6" width="22" customWidth="1"/>
    <col min="8" max="8" width="21.7109375" customWidth="1"/>
    <col min="9" max="9" width="25.5703125" customWidth="1"/>
  </cols>
  <sheetData>
    <row r="1" spans="1:9" ht="39.75" thickBot="1">
      <c r="A1" s="73" t="s">
        <v>522</v>
      </c>
      <c r="B1" s="73" t="s">
        <v>513</v>
      </c>
      <c r="C1" s="73" t="s">
        <v>527</v>
      </c>
      <c r="D1" s="73" t="s">
        <v>276</v>
      </c>
      <c r="E1" s="73" t="s">
        <v>526</v>
      </c>
      <c r="F1" s="73" t="s">
        <v>528</v>
      </c>
      <c r="G1" s="73" t="s">
        <v>523</v>
      </c>
      <c r="H1" s="73" t="s">
        <v>524</v>
      </c>
      <c r="I1" s="73" t="s">
        <v>525</v>
      </c>
    </row>
    <row r="2" spans="1:9" ht="15.75" thickBot="1">
      <c r="A2" s="74">
        <v>2568</v>
      </c>
      <c r="B2" s="74">
        <v>53300</v>
      </c>
      <c r="C2" s="74" t="str">
        <f>LEFT(B2,3)</f>
        <v>533</v>
      </c>
      <c r="D2" s="75" t="s">
        <v>175</v>
      </c>
      <c r="E2" s="75">
        <f>INDEX(group_data_final!D:D, MATCH(VALUE(C2), group_data_final!C:C, 0))</f>
        <v>1016.413</v>
      </c>
      <c r="F2" s="74">
        <v>32183800</v>
      </c>
      <c r="G2" s="74">
        <v>14235295</v>
      </c>
      <c r="H2" s="74">
        <v>0.44231243669999998</v>
      </c>
      <c r="I2">
        <f>G2/E2</f>
        <v>14005.42397627736</v>
      </c>
    </row>
    <row r="3" spans="1:9" ht="15.75" thickBot="1">
      <c r="A3" s="74">
        <v>2569</v>
      </c>
      <c r="B3" s="74">
        <v>44400</v>
      </c>
      <c r="C3" s="74" t="str">
        <f t="shared" ref="C3:C66" si="0">LEFT(B3,3)</f>
        <v>444</v>
      </c>
      <c r="D3" s="75" t="s">
        <v>177</v>
      </c>
      <c r="E3" s="75">
        <f>INDEX(group_data_final!D:D, MATCH(VALUE(C3), group_data_final!C:C, 0))</f>
        <v>1017.353</v>
      </c>
      <c r="F3" s="74">
        <v>43640088</v>
      </c>
      <c r="G3" s="74">
        <v>13552300</v>
      </c>
      <c r="H3" s="74">
        <v>0.31054703649999998</v>
      </c>
      <c r="I3">
        <f t="shared" ref="I3:I66" si="1">G3/E3</f>
        <v>13321.138287300475</v>
      </c>
    </row>
    <row r="4" spans="1:9" ht="15.75" thickBot="1">
      <c r="A4" s="74">
        <v>2568</v>
      </c>
      <c r="B4" s="74">
        <v>44400</v>
      </c>
      <c r="C4" s="74" t="str">
        <f t="shared" si="0"/>
        <v>444</v>
      </c>
      <c r="D4" s="75" t="s">
        <v>177</v>
      </c>
      <c r="E4" s="75">
        <f>INDEX(group_data_final!D:D, MATCH(VALUE(C4), group_data_final!C:C, 0))</f>
        <v>1017.353</v>
      </c>
      <c r="F4" s="74">
        <v>43319356</v>
      </c>
      <c r="G4" s="74">
        <v>13475969</v>
      </c>
      <c r="H4" s="74">
        <v>0.31108424140000002</v>
      </c>
      <c r="I4">
        <f t="shared" si="1"/>
        <v>13246.109265908688</v>
      </c>
    </row>
    <row r="5" spans="1:9" ht="15.75" thickBot="1">
      <c r="A5" s="74">
        <v>2569</v>
      </c>
      <c r="B5" s="74">
        <v>53300</v>
      </c>
      <c r="C5" s="74" t="str">
        <f t="shared" si="0"/>
        <v>533</v>
      </c>
      <c r="D5" s="75" t="s">
        <v>175</v>
      </c>
      <c r="E5" s="75">
        <f>INDEX(group_data_final!D:D, MATCH(VALUE(C5), group_data_final!C:C, 0))</f>
        <v>1016.413</v>
      </c>
      <c r="F5" s="74">
        <v>30227550</v>
      </c>
      <c r="G5" s="74">
        <v>12067117</v>
      </c>
      <c r="H5" s="74">
        <v>0.39920923130000002</v>
      </c>
      <c r="I5">
        <f t="shared" si="1"/>
        <v>11872.257635429693</v>
      </c>
    </row>
    <row r="6" spans="1:9" ht="27" thickBot="1">
      <c r="A6" s="74">
        <v>2567</v>
      </c>
      <c r="B6" s="74">
        <v>32100</v>
      </c>
      <c r="C6" s="74" t="str">
        <f t="shared" si="0"/>
        <v>321</v>
      </c>
      <c r="D6" s="75" t="s">
        <v>203</v>
      </c>
      <c r="E6" s="75">
        <f>INDEX(group_data_final!D:D, MATCH(VALUE(C6), group_data_final!C:C, 0))</f>
        <v>824.601</v>
      </c>
      <c r="F6" s="74">
        <v>34184582</v>
      </c>
      <c r="G6" s="74">
        <v>11696135</v>
      </c>
      <c r="H6" s="74">
        <v>0.34214649749999998</v>
      </c>
      <c r="I6">
        <f t="shared" si="1"/>
        <v>14183.993228240082</v>
      </c>
    </row>
    <row r="7" spans="1:9" ht="15.75" thickBot="1">
      <c r="A7" s="74">
        <v>2567</v>
      </c>
      <c r="B7" s="74">
        <v>44400</v>
      </c>
      <c r="C7" s="74" t="str">
        <f t="shared" si="0"/>
        <v>444</v>
      </c>
      <c r="D7" s="75" t="s">
        <v>177</v>
      </c>
      <c r="E7" s="75">
        <f>INDEX(group_data_final!D:D, MATCH(VALUE(C7), group_data_final!C:C, 0))</f>
        <v>1017.353</v>
      </c>
      <c r="F7" s="74">
        <v>46933247</v>
      </c>
      <c r="G7" s="74">
        <v>11671390</v>
      </c>
      <c r="H7" s="74">
        <v>0.24868064209999999</v>
      </c>
      <c r="I7">
        <f t="shared" si="1"/>
        <v>11472.310987435041</v>
      </c>
    </row>
    <row r="8" spans="1:9" ht="27" thickBot="1">
      <c r="A8" s="74">
        <v>2568</v>
      </c>
      <c r="B8" s="74">
        <v>33300</v>
      </c>
      <c r="C8" s="74" t="str">
        <f t="shared" si="0"/>
        <v>333</v>
      </c>
      <c r="D8" s="75" t="s">
        <v>285</v>
      </c>
      <c r="E8" s="75">
        <f>INDEX(group_data_final!D:D, MATCH(VALUE(C8), group_data_final!C:C, 0))</f>
        <v>721.52499999999998</v>
      </c>
      <c r="F8" s="74">
        <v>20099188</v>
      </c>
      <c r="G8" s="74">
        <v>11428060</v>
      </c>
      <c r="H8" s="74">
        <v>0.56858316860000002</v>
      </c>
      <c r="I8">
        <f t="shared" si="1"/>
        <v>15838.758185787048</v>
      </c>
    </row>
    <row r="9" spans="1:9" ht="27" thickBot="1">
      <c r="A9" s="74">
        <v>2569</v>
      </c>
      <c r="B9" s="74">
        <v>62100</v>
      </c>
      <c r="C9" s="74" t="str">
        <f t="shared" si="0"/>
        <v>621</v>
      </c>
      <c r="D9" s="75" t="s">
        <v>242</v>
      </c>
      <c r="E9" s="75">
        <f>INDEX(group_data_final!D:D, MATCH(VALUE(C9), group_data_final!C:C, 0))</f>
        <v>640.13199999999995</v>
      </c>
      <c r="F9" s="74">
        <v>19788744</v>
      </c>
      <c r="G9" s="74">
        <v>11268219</v>
      </c>
      <c r="H9" s="74">
        <v>0.56942567960000001</v>
      </c>
      <c r="I9">
        <f t="shared" si="1"/>
        <v>17602.961576674814</v>
      </c>
    </row>
    <row r="10" spans="1:9" ht="15.75" thickBot="1">
      <c r="A10" s="74">
        <v>2568</v>
      </c>
      <c r="B10" s="74">
        <v>62200</v>
      </c>
      <c r="C10" s="74" t="str">
        <f t="shared" si="0"/>
        <v>622</v>
      </c>
      <c r="D10" s="75" t="s">
        <v>192</v>
      </c>
      <c r="E10" s="75">
        <f>INDEX(group_data_final!D:D, MATCH(VALUE(C10), group_data_final!C:C, 0))</f>
        <v>913.52599999999995</v>
      </c>
      <c r="F10" s="74">
        <v>20752900</v>
      </c>
      <c r="G10" s="74">
        <v>11266383</v>
      </c>
      <c r="H10" s="74">
        <v>0.54288234420000003</v>
      </c>
      <c r="I10">
        <f t="shared" si="1"/>
        <v>12332.854237317822</v>
      </c>
    </row>
    <row r="11" spans="1:9" ht="15.75" thickBot="1">
      <c r="A11" s="74">
        <v>2569</v>
      </c>
      <c r="B11" s="74">
        <v>31700</v>
      </c>
      <c r="C11" s="74" t="str">
        <f t="shared" si="0"/>
        <v>317</v>
      </c>
      <c r="D11" s="75" t="s">
        <v>201</v>
      </c>
      <c r="E11" s="75">
        <f>INDEX(group_data_final!D:D, MATCH(VALUE(C11), group_data_final!C:C, 0))</f>
        <v>863.31700000000001</v>
      </c>
      <c r="F11" s="74">
        <v>20388582</v>
      </c>
      <c r="G11" s="74">
        <v>11227314</v>
      </c>
      <c r="H11" s="74">
        <v>0.5506667408</v>
      </c>
      <c r="I11">
        <f t="shared" si="1"/>
        <v>13004.856848643083</v>
      </c>
    </row>
    <row r="12" spans="1:9" ht="27" thickBot="1">
      <c r="A12" s="74">
        <v>2568</v>
      </c>
      <c r="B12" s="74">
        <v>32100</v>
      </c>
      <c r="C12" s="74" t="str">
        <f t="shared" si="0"/>
        <v>321</v>
      </c>
      <c r="D12" s="75" t="s">
        <v>203</v>
      </c>
      <c r="E12" s="75">
        <f>INDEX(group_data_final!D:D, MATCH(VALUE(C12), group_data_final!C:C, 0))</f>
        <v>824.601</v>
      </c>
      <c r="F12" s="74">
        <v>29817947</v>
      </c>
      <c r="G12" s="74">
        <v>11117192</v>
      </c>
      <c r="H12" s="74">
        <v>0.37283559459999999</v>
      </c>
      <c r="I12">
        <f t="shared" si="1"/>
        <v>13481.904581731043</v>
      </c>
    </row>
    <row r="13" spans="1:9" ht="15.75" thickBot="1">
      <c r="A13" s="74">
        <v>2567</v>
      </c>
      <c r="B13" s="74">
        <v>61700</v>
      </c>
      <c r="C13" s="74" t="str">
        <f t="shared" si="0"/>
        <v>617</v>
      </c>
      <c r="D13" s="75" t="s">
        <v>166</v>
      </c>
      <c r="E13" s="75">
        <f>INDEX(group_data_final!D:D, MATCH(VALUE(C13), group_data_final!C:C, 0))</f>
        <v>1498.98</v>
      </c>
      <c r="F13" s="74">
        <v>18024220</v>
      </c>
      <c r="G13" s="74">
        <v>11113912</v>
      </c>
      <c r="H13" s="74">
        <v>0.61660987270000001</v>
      </c>
      <c r="I13">
        <f t="shared" si="1"/>
        <v>7414.3164018199041</v>
      </c>
    </row>
    <row r="14" spans="1:9" ht="15.75" thickBot="1">
      <c r="A14" s="74">
        <v>2569</v>
      </c>
      <c r="B14" s="74">
        <v>42200</v>
      </c>
      <c r="C14" s="74" t="str">
        <f t="shared" si="0"/>
        <v>422</v>
      </c>
      <c r="D14" s="75" t="s">
        <v>197</v>
      </c>
      <c r="E14" s="75">
        <f>INDEX(group_data_final!D:D, MATCH(VALUE(C14), group_data_final!C:C, 0))</f>
        <v>774.303</v>
      </c>
      <c r="F14" s="74">
        <v>18222222</v>
      </c>
      <c r="G14" s="74">
        <v>11020568</v>
      </c>
      <c r="H14" s="74">
        <v>0.60478727570000002</v>
      </c>
      <c r="I14">
        <f t="shared" si="1"/>
        <v>14232.888158769887</v>
      </c>
    </row>
    <row r="15" spans="1:9" ht="15.75" thickBot="1">
      <c r="A15" s="74">
        <v>2568</v>
      </c>
      <c r="B15" s="74">
        <v>64400</v>
      </c>
      <c r="C15" s="74" t="str">
        <f t="shared" si="0"/>
        <v>644</v>
      </c>
      <c r="D15" s="75" t="s">
        <v>202</v>
      </c>
      <c r="E15" s="75">
        <f>INDEX(group_data_final!D:D, MATCH(VALUE(C15), group_data_final!C:C, 0))</f>
        <v>838.32600000000002</v>
      </c>
      <c r="F15" s="74">
        <v>50210000</v>
      </c>
      <c r="G15" s="74">
        <v>10795615</v>
      </c>
      <c r="H15" s="74">
        <v>0.21500926109999999</v>
      </c>
      <c r="I15">
        <f t="shared" si="1"/>
        <v>12877.585807907662</v>
      </c>
    </row>
    <row r="16" spans="1:9" ht="15.75" thickBot="1">
      <c r="A16" s="74">
        <v>2569</v>
      </c>
      <c r="B16" s="74">
        <v>62200</v>
      </c>
      <c r="C16" s="74" t="str">
        <f t="shared" si="0"/>
        <v>622</v>
      </c>
      <c r="D16" s="75" t="s">
        <v>192</v>
      </c>
      <c r="E16" s="75">
        <f>INDEX(group_data_final!D:D, MATCH(VALUE(C16), group_data_final!C:C, 0))</f>
        <v>913.52599999999995</v>
      </c>
      <c r="F16" s="74">
        <v>18156416</v>
      </c>
      <c r="G16" s="74">
        <v>10664925</v>
      </c>
      <c r="H16" s="74">
        <v>0.58739153150000001</v>
      </c>
      <c r="I16">
        <f t="shared" si="1"/>
        <v>11674.462467406511</v>
      </c>
    </row>
    <row r="17" spans="1:9" ht="15.75" thickBot="1">
      <c r="A17" s="74">
        <v>2568</v>
      </c>
      <c r="B17" s="74">
        <v>31700</v>
      </c>
      <c r="C17" s="74" t="str">
        <f t="shared" si="0"/>
        <v>317</v>
      </c>
      <c r="D17" s="75" t="s">
        <v>201</v>
      </c>
      <c r="E17" s="75">
        <f>INDEX(group_data_final!D:D, MATCH(VALUE(C17), group_data_final!C:C, 0))</f>
        <v>863.31700000000001</v>
      </c>
      <c r="F17" s="74">
        <v>17717370</v>
      </c>
      <c r="G17" s="74">
        <v>10610110</v>
      </c>
      <c r="H17" s="74">
        <v>0.59885355439999999</v>
      </c>
      <c r="I17">
        <f t="shared" si="1"/>
        <v>12289.935214990554</v>
      </c>
    </row>
    <row r="18" spans="1:9" ht="27" thickBot="1">
      <c r="A18" s="74">
        <v>2569</v>
      </c>
      <c r="B18" s="74">
        <v>32100</v>
      </c>
      <c r="C18" s="74" t="str">
        <f t="shared" si="0"/>
        <v>321</v>
      </c>
      <c r="D18" s="75" t="s">
        <v>203</v>
      </c>
      <c r="E18" s="75">
        <f>INDEX(group_data_final!D:D, MATCH(VALUE(C18), group_data_final!C:C, 0))</f>
        <v>824.601</v>
      </c>
      <c r="F18" s="74">
        <v>32886887</v>
      </c>
      <c r="G18" s="74">
        <v>10594254</v>
      </c>
      <c r="H18" s="74">
        <v>0.3221421961</v>
      </c>
      <c r="I18">
        <f t="shared" si="1"/>
        <v>12847.733631174349</v>
      </c>
    </row>
    <row r="19" spans="1:9" ht="15.75" thickBot="1">
      <c r="A19" s="74">
        <v>2568</v>
      </c>
      <c r="B19" s="74">
        <v>42600</v>
      </c>
      <c r="C19" s="74" t="str">
        <f t="shared" si="0"/>
        <v>426</v>
      </c>
      <c r="D19" s="75" t="s">
        <v>183</v>
      </c>
      <c r="E19" s="75">
        <f>INDEX(group_data_final!D:D, MATCH(VALUE(C19), group_data_final!C:C, 0))</f>
        <v>960.971</v>
      </c>
      <c r="F19" s="74">
        <v>18554146</v>
      </c>
      <c r="G19" s="74">
        <v>10338180</v>
      </c>
      <c r="H19" s="74">
        <v>0.55718975159999995</v>
      </c>
      <c r="I19">
        <f t="shared" si="1"/>
        <v>10758.056174431902</v>
      </c>
    </row>
    <row r="20" spans="1:9" ht="15.75" thickBot="1">
      <c r="A20" s="74">
        <v>2569</v>
      </c>
      <c r="B20" s="74">
        <v>51900</v>
      </c>
      <c r="C20" s="74" t="str">
        <f t="shared" si="0"/>
        <v>519</v>
      </c>
      <c r="D20" s="75" t="s">
        <v>219</v>
      </c>
      <c r="E20" s="75">
        <f>INDEX(group_data_final!D:D, MATCH(VALUE(C20), group_data_final!C:C, 0))</f>
        <v>806.99</v>
      </c>
      <c r="F20" s="74">
        <v>13917000</v>
      </c>
      <c r="G20" s="74">
        <v>10307035</v>
      </c>
      <c r="H20" s="74">
        <v>0.74060753040000005</v>
      </c>
      <c r="I20">
        <f t="shared" si="1"/>
        <v>12772.196681495434</v>
      </c>
    </row>
    <row r="21" spans="1:9" ht="27" thickBot="1">
      <c r="A21" s="74">
        <v>2567</v>
      </c>
      <c r="B21" s="74">
        <v>43700</v>
      </c>
      <c r="C21" s="74" t="str">
        <f t="shared" si="0"/>
        <v>437</v>
      </c>
      <c r="D21" s="75" t="s">
        <v>193</v>
      </c>
      <c r="E21" s="75">
        <f>INDEX(group_data_final!D:D, MATCH(VALUE(C21), group_data_final!C:C, 0))</f>
        <v>890.84199999999998</v>
      </c>
      <c r="F21" s="74">
        <v>31724083</v>
      </c>
      <c r="G21" s="74">
        <v>9943516</v>
      </c>
      <c r="H21" s="74">
        <v>0.31343746010000001</v>
      </c>
      <c r="I21">
        <f t="shared" si="1"/>
        <v>11161.92994941864</v>
      </c>
    </row>
    <row r="22" spans="1:9" ht="15.75" thickBot="1">
      <c r="A22" s="74">
        <v>2567</v>
      </c>
      <c r="B22" s="74">
        <v>62200</v>
      </c>
      <c r="C22" s="74" t="str">
        <f t="shared" si="0"/>
        <v>622</v>
      </c>
      <c r="D22" s="75" t="s">
        <v>192</v>
      </c>
      <c r="E22" s="75">
        <f>INDEX(group_data_final!D:D, MATCH(VALUE(C22), group_data_final!C:C, 0))</f>
        <v>913.52599999999995</v>
      </c>
      <c r="F22" s="74">
        <v>19084646</v>
      </c>
      <c r="G22" s="74">
        <v>9829869</v>
      </c>
      <c r="H22" s="74">
        <v>0.51506687630000003</v>
      </c>
      <c r="I22">
        <f t="shared" si="1"/>
        <v>10760.360405724632</v>
      </c>
    </row>
    <row r="23" spans="1:9" ht="15.75" thickBot="1">
      <c r="A23" s="74">
        <v>2568</v>
      </c>
      <c r="B23" s="74">
        <v>42200</v>
      </c>
      <c r="C23" s="74" t="str">
        <f t="shared" si="0"/>
        <v>422</v>
      </c>
      <c r="D23" s="75" t="s">
        <v>197</v>
      </c>
      <c r="E23" s="75">
        <f>INDEX(group_data_final!D:D, MATCH(VALUE(C23), group_data_final!C:C, 0))</f>
        <v>774.303</v>
      </c>
      <c r="F23" s="74">
        <v>14817667</v>
      </c>
      <c r="G23" s="74">
        <v>9697899</v>
      </c>
      <c r="H23" s="74">
        <v>0.65448218000000002</v>
      </c>
      <c r="I23">
        <f t="shared" si="1"/>
        <v>12524.68219805425</v>
      </c>
    </row>
    <row r="24" spans="1:9" ht="15.75" thickBot="1">
      <c r="A24" s="74">
        <v>2568</v>
      </c>
      <c r="B24" s="74">
        <v>51900</v>
      </c>
      <c r="C24" s="74" t="str">
        <f t="shared" si="0"/>
        <v>519</v>
      </c>
      <c r="D24" s="75" t="s">
        <v>219</v>
      </c>
      <c r="E24" s="75">
        <f>INDEX(group_data_final!D:D, MATCH(VALUE(C24), group_data_final!C:C, 0))</f>
        <v>806.99</v>
      </c>
      <c r="F24" s="74">
        <v>16617489</v>
      </c>
      <c r="G24" s="74">
        <v>9573072</v>
      </c>
      <c r="H24" s="74">
        <v>0.5760841485</v>
      </c>
      <c r="I24">
        <f t="shared" si="1"/>
        <v>11862.689748324019</v>
      </c>
    </row>
    <row r="25" spans="1:9" ht="27" thickBot="1">
      <c r="A25" s="74">
        <v>2569</v>
      </c>
      <c r="B25" s="74">
        <v>61400</v>
      </c>
      <c r="C25" s="74" t="str">
        <f t="shared" si="0"/>
        <v>614</v>
      </c>
      <c r="D25" s="75" t="s">
        <v>185</v>
      </c>
      <c r="E25" s="75">
        <f>INDEX(group_data_final!D:D, MATCH(VALUE(C25), group_data_final!C:C, 0))</f>
        <v>944.63400000000001</v>
      </c>
      <c r="F25" s="74">
        <v>23453400</v>
      </c>
      <c r="G25" s="74">
        <v>9555036</v>
      </c>
      <c r="H25" s="74">
        <v>0.40740515230000002</v>
      </c>
      <c r="I25">
        <f t="shared" si="1"/>
        <v>10115.066787771771</v>
      </c>
    </row>
    <row r="26" spans="1:9" ht="27" thickBot="1">
      <c r="A26" s="74">
        <v>2569</v>
      </c>
      <c r="B26" s="74">
        <v>61100</v>
      </c>
      <c r="C26" s="74" t="str">
        <f t="shared" si="0"/>
        <v>611</v>
      </c>
      <c r="D26" s="75" t="s">
        <v>172</v>
      </c>
      <c r="E26" s="75">
        <f>INDEX(group_data_final!D:D, MATCH(VALUE(C26), group_data_final!C:C, 0))</f>
        <v>1080.326</v>
      </c>
      <c r="F26" s="74">
        <v>15723722</v>
      </c>
      <c r="G26" s="74">
        <v>9390285</v>
      </c>
      <c r="H26" s="74">
        <v>0.59720497480000001</v>
      </c>
      <c r="I26">
        <f t="shared" si="1"/>
        <v>8692.084611496899</v>
      </c>
    </row>
    <row r="27" spans="1:9" ht="27" thickBot="1">
      <c r="A27" s="74">
        <v>2567</v>
      </c>
      <c r="B27" s="74">
        <v>61100</v>
      </c>
      <c r="C27" s="74" t="str">
        <f t="shared" si="0"/>
        <v>611</v>
      </c>
      <c r="D27" s="75" t="s">
        <v>172</v>
      </c>
      <c r="E27" s="75">
        <f>INDEX(group_data_final!D:D, MATCH(VALUE(C27), group_data_final!C:C, 0))</f>
        <v>1080.326</v>
      </c>
      <c r="F27" s="74">
        <v>14994030</v>
      </c>
      <c r="G27" s="74">
        <v>9381133</v>
      </c>
      <c r="H27" s="74">
        <v>0.62565787849999999</v>
      </c>
      <c r="I27">
        <f t="shared" si="1"/>
        <v>8683.6130945658988</v>
      </c>
    </row>
    <row r="28" spans="1:9" ht="15.75" thickBot="1">
      <c r="A28" s="74">
        <v>2568</v>
      </c>
      <c r="B28" s="74">
        <v>61700</v>
      </c>
      <c r="C28" s="74" t="str">
        <f t="shared" si="0"/>
        <v>617</v>
      </c>
      <c r="D28" s="75" t="s">
        <v>166</v>
      </c>
      <c r="E28" s="75">
        <f>INDEX(group_data_final!D:D, MATCH(VALUE(C28), group_data_final!C:C, 0))</f>
        <v>1498.98</v>
      </c>
      <c r="F28" s="74">
        <v>17920200</v>
      </c>
      <c r="G28" s="74">
        <v>9377106</v>
      </c>
      <c r="H28" s="74">
        <v>0.52327016439999996</v>
      </c>
      <c r="I28">
        <f t="shared" si="1"/>
        <v>6255.6578473361888</v>
      </c>
    </row>
    <row r="29" spans="1:9" ht="15.75" thickBot="1">
      <c r="A29" s="74">
        <v>2567</v>
      </c>
      <c r="B29" s="74">
        <v>51300</v>
      </c>
      <c r="C29" s="74" t="str">
        <f t="shared" si="0"/>
        <v>513</v>
      </c>
      <c r="D29" s="75" t="s">
        <v>187</v>
      </c>
      <c r="E29" s="75">
        <f>INDEX(group_data_final!D:D, MATCH(VALUE(C29), group_data_final!C:C, 0))</f>
        <v>1003.095</v>
      </c>
      <c r="F29" s="74">
        <v>25867362</v>
      </c>
      <c r="G29" s="74">
        <v>9150409</v>
      </c>
      <c r="H29" s="74">
        <v>0.35374341609999999</v>
      </c>
      <c r="I29">
        <f t="shared" si="1"/>
        <v>9122.1758656956717</v>
      </c>
    </row>
    <row r="30" spans="1:9" ht="27" thickBot="1">
      <c r="A30" s="74">
        <v>2568</v>
      </c>
      <c r="B30" s="74">
        <v>32500</v>
      </c>
      <c r="C30" s="74" t="str">
        <f t="shared" si="0"/>
        <v>325</v>
      </c>
      <c r="D30" s="75" t="s">
        <v>519</v>
      </c>
      <c r="E30" s="75">
        <f>INDEX(group_data_final!D:D, MATCH(VALUE(C30), group_data_final!C:C, 0))</f>
        <v>837.59100000000001</v>
      </c>
      <c r="F30" s="74">
        <v>24413220</v>
      </c>
      <c r="G30" s="74">
        <v>9106230</v>
      </c>
      <c r="H30" s="74">
        <v>0.37300405269999998</v>
      </c>
      <c r="I30">
        <f t="shared" si="1"/>
        <v>10871.929139639753</v>
      </c>
    </row>
    <row r="31" spans="1:9" ht="15.75" thickBot="1">
      <c r="A31" s="74">
        <v>2567</v>
      </c>
      <c r="B31" s="74">
        <v>53700</v>
      </c>
      <c r="C31" s="74" t="str">
        <f t="shared" si="0"/>
        <v>537</v>
      </c>
      <c r="D31" s="75" t="s">
        <v>181</v>
      </c>
      <c r="E31" s="75">
        <f>INDEX(group_data_final!D:D, MATCH(VALUE(C31), group_data_final!C:C, 0))</f>
        <v>1000.818</v>
      </c>
      <c r="F31" s="74">
        <v>27787700</v>
      </c>
      <c r="G31" s="74">
        <v>9102266</v>
      </c>
      <c r="H31" s="74">
        <v>0.32756456989999999</v>
      </c>
      <c r="I31">
        <f t="shared" si="1"/>
        <v>9094.8264319786413</v>
      </c>
    </row>
    <row r="32" spans="1:9" ht="15.75" thickBot="1">
      <c r="A32" s="74">
        <v>2568</v>
      </c>
      <c r="B32" s="74">
        <v>51300</v>
      </c>
      <c r="C32" s="74" t="str">
        <f t="shared" si="0"/>
        <v>513</v>
      </c>
      <c r="D32" s="75" t="s">
        <v>187</v>
      </c>
      <c r="E32" s="75">
        <f>INDEX(group_data_final!D:D, MATCH(VALUE(C32), group_data_final!C:C, 0))</f>
        <v>1003.095</v>
      </c>
      <c r="F32" s="74">
        <v>26824641</v>
      </c>
      <c r="G32" s="74">
        <v>9063218</v>
      </c>
      <c r="H32" s="74">
        <v>0.33786912559999999</v>
      </c>
      <c r="I32">
        <f t="shared" si="1"/>
        <v>9035.253889212885</v>
      </c>
    </row>
    <row r="33" spans="1:9" ht="27" thickBot="1">
      <c r="A33" s="74">
        <v>2569</v>
      </c>
      <c r="B33" s="74">
        <v>62700</v>
      </c>
      <c r="C33" s="74" t="str">
        <f t="shared" si="0"/>
        <v>627</v>
      </c>
      <c r="D33" s="75" t="s">
        <v>280</v>
      </c>
      <c r="E33" s="75">
        <f>INDEX(group_data_final!D:D, MATCH(VALUE(C33), group_data_final!C:C, 0))</f>
        <v>687.24599999999998</v>
      </c>
      <c r="F33" s="74">
        <v>20790006</v>
      </c>
      <c r="G33" s="74">
        <v>9054492</v>
      </c>
      <c r="H33" s="74">
        <v>0.43552137499999999</v>
      </c>
      <c r="I33">
        <f t="shared" si="1"/>
        <v>13175.03775940493</v>
      </c>
    </row>
    <row r="34" spans="1:9" ht="27" thickBot="1">
      <c r="A34" s="74">
        <v>2569</v>
      </c>
      <c r="B34" s="74">
        <v>33300</v>
      </c>
      <c r="C34" s="74" t="str">
        <f t="shared" si="0"/>
        <v>333</v>
      </c>
      <c r="D34" s="75" t="s">
        <v>285</v>
      </c>
      <c r="E34" s="75">
        <f>INDEX(group_data_final!D:D, MATCH(VALUE(C34), group_data_final!C:C, 0))</f>
        <v>721.52499999999998</v>
      </c>
      <c r="F34" s="74">
        <v>19987895</v>
      </c>
      <c r="G34" s="74">
        <v>8925834</v>
      </c>
      <c r="H34" s="74">
        <v>0.44656198159999999</v>
      </c>
      <c r="I34">
        <f t="shared" si="1"/>
        <v>12370.789646928381</v>
      </c>
    </row>
    <row r="35" spans="1:9" ht="27" thickBot="1">
      <c r="A35" s="74">
        <v>2568</v>
      </c>
      <c r="B35" s="74">
        <v>61400</v>
      </c>
      <c r="C35" s="74" t="str">
        <f t="shared" si="0"/>
        <v>614</v>
      </c>
      <c r="D35" s="75" t="s">
        <v>185</v>
      </c>
      <c r="E35" s="75">
        <f>INDEX(group_data_final!D:D, MATCH(VALUE(C35), group_data_final!C:C, 0))</f>
        <v>944.63400000000001</v>
      </c>
      <c r="F35" s="74">
        <v>28640519</v>
      </c>
      <c r="G35" s="74">
        <v>8850718</v>
      </c>
      <c r="H35" s="74">
        <v>0.30902784970000002</v>
      </c>
      <c r="I35">
        <f t="shared" si="1"/>
        <v>9369.4679632534935</v>
      </c>
    </row>
    <row r="36" spans="1:9" ht="15.75" thickBot="1">
      <c r="A36" s="74">
        <v>2569</v>
      </c>
      <c r="B36" s="74">
        <v>42600</v>
      </c>
      <c r="C36" s="74" t="str">
        <f t="shared" si="0"/>
        <v>426</v>
      </c>
      <c r="D36" s="75" t="s">
        <v>183</v>
      </c>
      <c r="E36" s="75">
        <f>INDEX(group_data_final!D:D, MATCH(VALUE(C36), group_data_final!C:C, 0))</f>
        <v>960.971</v>
      </c>
      <c r="F36" s="74">
        <v>28782953</v>
      </c>
      <c r="G36" s="74">
        <v>8767890</v>
      </c>
      <c r="H36" s="74">
        <v>0.30462093309999999</v>
      </c>
      <c r="I36">
        <f t="shared" si="1"/>
        <v>9123.9902140647318</v>
      </c>
    </row>
    <row r="37" spans="1:9" ht="15.75" thickBot="1">
      <c r="A37" s="74">
        <v>2567</v>
      </c>
      <c r="B37" s="74">
        <v>64400</v>
      </c>
      <c r="C37" s="74" t="str">
        <f t="shared" si="0"/>
        <v>644</v>
      </c>
      <c r="D37" s="75" t="s">
        <v>202</v>
      </c>
      <c r="E37" s="75">
        <f>INDEX(group_data_final!D:D, MATCH(VALUE(C37), group_data_final!C:C, 0))</f>
        <v>838.32600000000002</v>
      </c>
      <c r="F37" s="74">
        <v>54592200</v>
      </c>
      <c r="G37" s="74">
        <v>8759548</v>
      </c>
      <c r="H37" s="74">
        <v>0.1604542041</v>
      </c>
      <c r="I37">
        <f t="shared" si="1"/>
        <v>10448.856411467616</v>
      </c>
    </row>
    <row r="38" spans="1:9" ht="15.75" thickBot="1">
      <c r="A38" s="74">
        <v>2569</v>
      </c>
      <c r="B38" s="74">
        <v>64400</v>
      </c>
      <c r="C38" s="74" t="str">
        <f t="shared" si="0"/>
        <v>644</v>
      </c>
      <c r="D38" s="75" t="s">
        <v>202</v>
      </c>
      <c r="E38" s="75">
        <f>INDEX(group_data_final!D:D, MATCH(VALUE(C38), group_data_final!C:C, 0))</f>
        <v>838.32600000000002</v>
      </c>
      <c r="F38" s="74">
        <v>13292500</v>
      </c>
      <c r="G38" s="74">
        <v>8711727</v>
      </c>
      <c r="H38" s="74">
        <v>0.65538664660000001</v>
      </c>
      <c r="I38">
        <f t="shared" si="1"/>
        <v>10391.812970133336</v>
      </c>
    </row>
    <row r="39" spans="1:9" ht="15.75" thickBot="1">
      <c r="A39" s="74">
        <v>2567</v>
      </c>
      <c r="B39" s="74">
        <v>44600</v>
      </c>
      <c r="C39" s="74" t="str">
        <f t="shared" si="0"/>
        <v>446</v>
      </c>
      <c r="D39" s="75" t="s">
        <v>243</v>
      </c>
      <c r="E39" s="75">
        <f>INDEX(group_data_final!D:D, MATCH(VALUE(C39), group_data_final!C:C, 0))</f>
        <v>674.495</v>
      </c>
      <c r="F39" s="74">
        <v>34209963</v>
      </c>
      <c r="G39" s="74">
        <v>8622712</v>
      </c>
      <c r="H39" s="74">
        <v>0.25205265500000001</v>
      </c>
      <c r="I39">
        <f t="shared" si="1"/>
        <v>12783.952438491018</v>
      </c>
    </row>
    <row r="40" spans="1:9" ht="27" thickBot="1">
      <c r="A40" s="74">
        <v>2569</v>
      </c>
      <c r="B40" s="74">
        <v>43700</v>
      </c>
      <c r="C40" s="74" t="str">
        <f t="shared" si="0"/>
        <v>437</v>
      </c>
      <c r="D40" s="75" t="s">
        <v>193</v>
      </c>
      <c r="E40" s="75">
        <f>INDEX(group_data_final!D:D, MATCH(VALUE(C40), group_data_final!C:C, 0))</f>
        <v>890.84199999999998</v>
      </c>
      <c r="F40" s="74">
        <v>15762322</v>
      </c>
      <c r="G40" s="74">
        <v>8554997</v>
      </c>
      <c r="H40" s="74">
        <v>0.54274979280000002</v>
      </c>
      <c r="I40">
        <f t="shared" si="1"/>
        <v>9603.2708381508728</v>
      </c>
    </row>
    <row r="41" spans="1:9" ht="27" thickBot="1">
      <c r="A41" s="74">
        <v>2568</v>
      </c>
      <c r="B41" s="74">
        <v>43700</v>
      </c>
      <c r="C41" s="74" t="str">
        <f t="shared" si="0"/>
        <v>437</v>
      </c>
      <c r="D41" s="75" t="s">
        <v>193</v>
      </c>
      <c r="E41" s="75">
        <f>INDEX(group_data_final!D:D, MATCH(VALUE(C41), group_data_final!C:C, 0))</f>
        <v>890.84199999999998</v>
      </c>
      <c r="F41" s="74">
        <v>16375016</v>
      </c>
      <c r="G41" s="74">
        <v>8526570</v>
      </c>
      <c r="H41" s="74">
        <v>0.52070605609999998</v>
      </c>
      <c r="I41">
        <f t="shared" si="1"/>
        <v>9571.3605779700556</v>
      </c>
    </row>
    <row r="42" spans="1:9" ht="15.75" thickBot="1">
      <c r="A42" s="74">
        <v>2569</v>
      </c>
      <c r="B42" s="74">
        <v>52200</v>
      </c>
      <c r="C42" s="74" t="str">
        <f t="shared" si="0"/>
        <v>522</v>
      </c>
      <c r="D42" s="75" t="s">
        <v>517</v>
      </c>
      <c r="E42" s="75">
        <f>INDEX(group_data_final!D:D, MATCH(VALUE(C42), group_data_final!C:C, 0))</f>
        <v>922.12800000000004</v>
      </c>
      <c r="F42" s="74">
        <v>20125400</v>
      </c>
      <c r="G42" s="74">
        <v>8514533</v>
      </c>
      <c r="H42" s="74">
        <v>0.42307397619999998</v>
      </c>
      <c r="I42">
        <f t="shared" si="1"/>
        <v>9233.5695261395376</v>
      </c>
    </row>
    <row r="43" spans="1:9" ht="15.75" thickBot="1">
      <c r="A43" s="74">
        <v>2567</v>
      </c>
      <c r="B43" s="74">
        <v>31700</v>
      </c>
      <c r="C43" s="74" t="str">
        <f t="shared" si="0"/>
        <v>317</v>
      </c>
      <c r="D43" s="75" t="s">
        <v>201</v>
      </c>
      <c r="E43" s="75">
        <f>INDEX(group_data_final!D:D, MATCH(VALUE(C43), group_data_final!C:C, 0))</f>
        <v>863.31700000000001</v>
      </c>
      <c r="F43" s="74">
        <v>15365401</v>
      </c>
      <c r="G43" s="74">
        <v>8435125</v>
      </c>
      <c r="H43" s="74">
        <v>0.5489687513</v>
      </c>
      <c r="I43">
        <f t="shared" si="1"/>
        <v>9770.5999071024889</v>
      </c>
    </row>
    <row r="44" spans="1:9" ht="15.75" thickBot="1">
      <c r="A44" s="74">
        <v>2568</v>
      </c>
      <c r="B44" s="74">
        <v>53100</v>
      </c>
      <c r="C44" s="74" t="str">
        <f t="shared" si="0"/>
        <v>531</v>
      </c>
      <c r="D44" s="75" t="s">
        <v>199</v>
      </c>
      <c r="E44" s="75">
        <f>INDEX(group_data_final!D:D, MATCH(VALUE(C44), group_data_final!C:C, 0))</f>
        <v>868.16399999999999</v>
      </c>
      <c r="F44" s="74">
        <v>19218069</v>
      </c>
      <c r="G44" s="74">
        <v>8429315</v>
      </c>
      <c r="H44" s="74">
        <v>0.43861404599999998</v>
      </c>
      <c r="I44">
        <f t="shared" si="1"/>
        <v>9709.3579093351036</v>
      </c>
    </row>
    <row r="45" spans="1:9" ht="27" thickBot="1">
      <c r="A45" s="74">
        <v>2568</v>
      </c>
      <c r="B45" s="74">
        <v>44100</v>
      </c>
      <c r="C45" s="74" t="str">
        <f t="shared" si="0"/>
        <v>441</v>
      </c>
      <c r="D45" s="75" t="s">
        <v>190</v>
      </c>
      <c r="E45" s="75">
        <f>INDEX(group_data_final!D:D, MATCH(VALUE(C45), group_data_final!C:C, 0))</f>
        <v>915.81299999999999</v>
      </c>
      <c r="F45" s="74">
        <v>29095211</v>
      </c>
      <c r="G45" s="74">
        <v>8348745</v>
      </c>
      <c r="H45" s="74">
        <v>0.28694567640000002</v>
      </c>
      <c r="I45">
        <f t="shared" si="1"/>
        <v>9116.2114973253283</v>
      </c>
    </row>
    <row r="46" spans="1:9" ht="15.75" thickBot="1">
      <c r="A46" s="74">
        <v>2567</v>
      </c>
      <c r="B46" s="74">
        <v>41300</v>
      </c>
      <c r="C46" s="74" t="str">
        <f t="shared" si="0"/>
        <v>413</v>
      </c>
      <c r="D46" s="75" t="s">
        <v>179</v>
      </c>
      <c r="E46" s="75">
        <f>INDEX(group_data_final!D:D, MATCH(VALUE(C46), group_data_final!C:C, 0))</f>
        <v>915.24199999999996</v>
      </c>
      <c r="F46" s="74">
        <v>29293590</v>
      </c>
      <c r="G46" s="74">
        <v>8346949</v>
      </c>
      <c r="H46" s="74">
        <v>0.28494114240000001</v>
      </c>
      <c r="I46">
        <f t="shared" si="1"/>
        <v>9119.936585078045</v>
      </c>
    </row>
    <row r="47" spans="1:9" ht="15.75" thickBot="1">
      <c r="A47" s="74">
        <v>2568</v>
      </c>
      <c r="B47" s="74">
        <v>62300</v>
      </c>
      <c r="C47" s="74" t="str">
        <f t="shared" si="0"/>
        <v>623</v>
      </c>
      <c r="D47" s="75" t="s">
        <v>235</v>
      </c>
      <c r="E47" s="75">
        <f>INDEX(group_data_final!D:D, MATCH(VALUE(C47), group_data_final!C:C, 0))</f>
        <v>709.95100000000002</v>
      </c>
      <c r="F47" s="74">
        <v>15182208</v>
      </c>
      <c r="G47" s="74">
        <v>8334626</v>
      </c>
      <c r="H47" s="74">
        <v>0.54897324550000004</v>
      </c>
      <c r="I47">
        <f t="shared" si="1"/>
        <v>11739.720065187597</v>
      </c>
    </row>
    <row r="48" spans="1:9" ht="15.75" thickBot="1">
      <c r="A48" s="74">
        <v>2568</v>
      </c>
      <c r="B48" s="74">
        <v>53600</v>
      </c>
      <c r="C48" s="74" t="str">
        <f t="shared" si="0"/>
        <v>536</v>
      </c>
      <c r="D48" s="75" t="s">
        <v>237</v>
      </c>
      <c r="E48" s="75">
        <f>INDEX(group_data_final!D:D, MATCH(VALUE(C48), group_data_final!C:C, 0))</f>
        <v>689.76900000000001</v>
      </c>
      <c r="F48" s="74">
        <v>21140148</v>
      </c>
      <c r="G48" s="74">
        <v>8322210</v>
      </c>
      <c r="H48" s="74">
        <v>0.39366848329999998</v>
      </c>
      <c r="I48">
        <f t="shared" si="1"/>
        <v>12065.213136571809</v>
      </c>
    </row>
    <row r="49" spans="1:9" ht="15.75" thickBot="1">
      <c r="A49" s="74">
        <v>2568</v>
      </c>
      <c r="B49" s="74">
        <v>53700</v>
      </c>
      <c r="C49" s="74" t="str">
        <f t="shared" si="0"/>
        <v>537</v>
      </c>
      <c r="D49" s="75" t="s">
        <v>181</v>
      </c>
      <c r="E49" s="75">
        <f>INDEX(group_data_final!D:D, MATCH(VALUE(C49), group_data_final!C:C, 0))</f>
        <v>1000.818</v>
      </c>
      <c r="F49" s="74">
        <v>27914700</v>
      </c>
      <c r="G49" s="74">
        <v>8256250</v>
      </c>
      <c r="H49" s="74">
        <v>0.29576710480000001</v>
      </c>
      <c r="I49">
        <f t="shared" si="1"/>
        <v>8249.5019074397151</v>
      </c>
    </row>
    <row r="50" spans="1:9" ht="27" thickBot="1">
      <c r="A50" s="74">
        <v>2568</v>
      </c>
      <c r="B50" s="74">
        <v>61900</v>
      </c>
      <c r="C50" s="74" t="str">
        <f t="shared" si="0"/>
        <v>619</v>
      </c>
      <c r="D50" s="75" t="s">
        <v>289</v>
      </c>
      <c r="E50" s="75">
        <f>INDEX(group_data_final!D:D, MATCH(VALUE(C50), group_data_final!C:C, 0))</f>
        <v>1041.9480000000001</v>
      </c>
      <c r="F50" s="74">
        <v>23996000</v>
      </c>
      <c r="G50" s="74">
        <v>8232759</v>
      </c>
      <c r="H50" s="74">
        <v>0.34308880650000001</v>
      </c>
      <c r="I50">
        <f t="shared" si="1"/>
        <v>7901.314652938534</v>
      </c>
    </row>
    <row r="51" spans="1:9" ht="15.75" thickBot="1">
      <c r="A51" s="74">
        <v>2568</v>
      </c>
      <c r="B51" s="74">
        <v>63500</v>
      </c>
      <c r="C51" s="74" t="str">
        <f t="shared" si="0"/>
        <v>635</v>
      </c>
      <c r="D51" s="75" t="s">
        <v>200</v>
      </c>
      <c r="E51" s="75">
        <f>INDEX(group_data_final!D:D, MATCH(VALUE(C51), group_data_final!C:C, 0))</f>
        <v>883.61</v>
      </c>
      <c r="F51" s="74">
        <v>12539500</v>
      </c>
      <c r="G51" s="74">
        <v>8090592</v>
      </c>
      <c r="H51" s="74">
        <v>0.64520850110000005</v>
      </c>
      <c r="I51">
        <f t="shared" si="1"/>
        <v>9156.2929346657456</v>
      </c>
    </row>
    <row r="52" spans="1:9" ht="15.75" thickBot="1">
      <c r="A52" s="74">
        <v>2568</v>
      </c>
      <c r="B52" s="74">
        <v>52300</v>
      </c>
      <c r="C52" s="74" t="str">
        <f t="shared" si="0"/>
        <v>523</v>
      </c>
      <c r="D52" s="75" t="s">
        <v>208</v>
      </c>
      <c r="E52" s="75">
        <f>INDEX(group_data_final!D:D, MATCH(VALUE(C52), group_data_final!C:C, 0))</f>
        <v>765.85</v>
      </c>
      <c r="F52" s="74">
        <v>16212746</v>
      </c>
      <c r="G52" s="74">
        <v>8056039</v>
      </c>
      <c r="H52" s="74">
        <v>0.49689540560000001</v>
      </c>
      <c r="I52">
        <f t="shared" si="1"/>
        <v>10519.082065678658</v>
      </c>
    </row>
    <row r="53" spans="1:9" ht="15.75" thickBot="1">
      <c r="A53" s="74">
        <v>2569</v>
      </c>
      <c r="B53" s="74">
        <v>63500</v>
      </c>
      <c r="C53" s="74" t="str">
        <f t="shared" si="0"/>
        <v>635</v>
      </c>
      <c r="D53" s="75" t="s">
        <v>200</v>
      </c>
      <c r="E53" s="75">
        <f>INDEX(group_data_final!D:D, MATCH(VALUE(C53), group_data_final!C:C, 0))</f>
        <v>883.61</v>
      </c>
      <c r="F53" s="74">
        <v>13252000</v>
      </c>
      <c r="G53" s="74">
        <v>8044244</v>
      </c>
      <c r="H53" s="74">
        <v>0.60702112890000004</v>
      </c>
      <c r="I53">
        <f t="shared" si="1"/>
        <v>9103.8399293806087</v>
      </c>
    </row>
    <row r="54" spans="1:9" ht="15.75" thickBot="1">
      <c r="A54" s="74">
        <v>2569</v>
      </c>
      <c r="B54" s="74">
        <v>53700</v>
      </c>
      <c r="C54" s="74" t="str">
        <f t="shared" si="0"/>
        <v>537</v>
      </c>
      <c r="D54" s="75" t="s">
        <v>181</v>
      </c>
      <c r="E54" s="75">
        <f>INDEX(group_data_final!D:D, MATCH(VALUE(C54), group_data_final!C:C, 0))</f>
        <v>1000.818</v>
      </c>
      <c r="F54" s="74">
        <v>29214650</v>
      </c>
      <c r="G54" s="74">
        <v>8043336</v>
      </c>
      <c r="H54" s="74">
        <v>0.2753185816</v>
      </c>
      <c r="I54">
        <f t="shared" si="1"/>
        <v>8036.7619287422885</v>
      </c>
    </row>
    <row r="55" spans="1:9" ht="15.75" thickBot="1">
      <c r="A55" s="74">
        <v>2569</v>
      </c>
      <c r="B55" s="74">
        <v>53600</v>
      </c>
      <c r="C55" s="74" t="str">
        <f t="shared" si="0"/>
        <v>536</v>
      </c>
      <c r="D55" s="75" t="s">
        <v>237</v>
      </c>
      <c r="E55" s="75">
        <f>INDEX(group_data_final!D:D, MATCH(VALUE(C55), group_data_final!C:C, 0))</f>
        <v>689.76900000000001</v>
      </c>
      <c r="F55" s="74">
        <v>16864211</v>
      </c>
      <c r="G55" s="74">
        <v>8030249</v>
      </c>
      <c r="H55" s="74">
        <v>0.47617104649999997</v>
      </c>
      <c r="I55">
        <f t="shared" si="1"/>
        <v>11641.939547877622</v>
      </c>
    </row>
    <row r="56" spans="1:9" ht="15.75" thickBot="1">
      <c r="A56" s="74">
        <v>2567</v>
      </c>
      <c r="B56" s="74">
        <v>53300</v>
      </c>
      <c r="C56" s="74" t="str">
        <f t="shared" si="0"/>
        <v>533</v>
      </c>
      <c r="D56" s="75" t="s">
        <v>175</v>
      </c>
      <c r="E56" s="75">
        <f>INDEX(group_data_final!D:D, MATCH(VALUE(C56), group_data_final!C:C, 0))</f>
        <v>1016.413</v>
      </c>
      <c r="F56" s="74">
        <v>20059840</v>
      </c>
      <c r="G56" s="74">
        <v>8018765</v>
      </c>
      <c r="H56" s="74">
        <v>0.39974222129999998</v>
      </c>
      <c r="I56">
        <f t="shared" si="1"/>
        <v>7889.278275661567</v>
      </c>
    </row>
    <row r="57" spans="1:9" ht="27" thickBot="1">
      <c r="A57" s="74">
        <v>2569</v>
      </c>
      <c r="B57" s="74">
        <v>61900</v>
      </c>
      <c r="C57" s="74" t="str">
        <f t="shared" si="0"/>
        <v>619</v>
      </c>
      <c r="D57" s="75" t="s">
        <v>289</v>
      </c>
      <c r="E57" s="75">
        <f>INDEX(group_data_final!D:D, MATCH(VALUE(C57), group_data_final!C:C, 0))</f>
        <v>1041.9480000000001</v>
      </c>
      <c r="F57" s="74">
        <v>19424000</v>
      </c>
      <c r="G57" s="74">
        <v>7972813</v>
      </c>
      <c r="H57" s="74">
        <v>0.41046195429999999</v>
      </c>
      <c r="I57">
        <f t="shared" si="1"/>
        <v>7651.8338727076589</v>
      </c>
    </row>
    <row r="58" spans="1:9" ht="15.75" thickBot="1">
      <c r="A58" s="74">
        <v>2568</v>
      </c>
      <c r="B58" s="74">
        <v>43200</v>
      </c>
      <c r="C58" s="74" t="str">
        <f t="shared" si="0"/>
        <v>432</v>
      </c>
      <c r="D58" s="75" t="s">
        <v>173</v>
      </c>
      <c r="E58" s="75">
        <f>INDEX(group_data_final!D:D, MATCH(VALUE(C58), group_data_final!C:C, 0))</f>
        <v>953.30899999999997</v>
      </c>
      <c r="F58" s="74">
        <v>19388958</v>
      </c>
      <c r="G58" s="74">
        <v>7947964</v>
      </c>
      <c r="H58" s="74">
        <v>0.40992218349999998</v>
      </c>
      <c r="I58">
        <f t="shared" si="1"/>
        <v>8337.237978451898</v>
      </c>
    </row>
    <row r="59" spans="1:9" ht="15.75" thickBot="1">
      <c r="A59" s="74">
        <v>2567</v>
      </c>
      <c r="B59" s="74">
        <v>33200</v>
      </c>
      <c r="C59" s="74" t="str">
        <f t="shared" si="0"/>
        <v>332</v>
      </c>
      <c r="D59" s="75" t="s">
        <v>240</v>
      </c>
      <c r="E59" s="75">
        <f>INDEX(group_data_final!D:D, MATCH(VALUE(C59), group_data_final!C:C, 0))</f>
        <v>661.423</v>
      </c>
      <c r="F59" s="74">
        <v>16104477</v>
      </c>
      <c r="G59" s="74">
        <v>7884797</v>
      </c>
      <c r="H59" s="74">
        <v>0.48960279800000001</v>
      </c>
      <c r="I59">
        <f t="shared" si="1"/>
        <v>11920.959809380684</v>
      </c>
    </row>
    <row r="60" spans="1:9" ht="27" thickBot="1">
      <c r="A60" s="74">
        <v>2567</v>
      </c>
      <c r="B60" s="74">
        <v>61400</v>
      </c>
      <c r="C60" s="74" t="str">
        <f t="shared" si="0"/>
        <v>614</v>
      </c>
      <c r="D60" s="75" t="s">
        <v>185</v>
      </c>
      <c r="E60" s="75">
        <f>INDEX(group_data_final!D:D, MATCH(VALUE(C60), group_data_final!C:C, 0))</f>
        <v>944.63400000000001</v>
      </c>
      <c r="F60" s="74">
        <v>22764253</v>
      </c>
      <c r="G60" s="74">
        <v>7877026</v>
      </c>
      <c r="H60" s="74">
        <v>0.34602611379999998</v>
      </c>
      <c r="I60">
        <f t="shared" si="1"/>
        <v>8338.7068430736144</v>
      </c>
    </row>
    <row r="61" spans="1:9" ht="15.75" thickBot="1">
      <c r="A61" s="74">
        <v>2567</v>
      </c>
      <c r="B61" s="74">
        <v>53100</v>
      </c>
      <c r="C61" s="74" t="str">
        <f t="shared" si="0"/>
        <v>531</v>
      </c>
      <c r="D61" s="75" t="s">
        <v>199</v>
      </c>
      <c r="E61" s="75">
        <f>INDEX(group_data_final!D:D, MATCH(VALUE(C61), group_data_final!C:C, 0))</f>
        <v>868.16399999999999</v>
      </c>
      <c r="F61" s="74">
        <v>19977503</v>
      </c>
      <c r="G61" s="74">
        <v>7845975</v>
      </c>
      <c r="H61" s="74">
        <v>0.3927405242</v>
      </c>
      <c r="I61">
        <f t="shared" si="1"/>
        <v>9037.4341714238326</v>
      </c>
    </row>
    <row r="62" spans="1:9" ht="15.75" thickBot="1">
      <c r="A62" s="74">
        <v>2567</v>
      </c>
      <c r="B62" s="74">
        <v>42200</v>
      </c>
      <c r="C62" s="74" t="str">
        <f t="shared" si="0"/>
        <v>422</v>
      </c>
      <c r="D62" s="75" t="s">
        <v>197</v>
      </c>
      <c r="E62" s="75">
        <f>INDEX(group_data_final!D:D, MATCH(VALUE(C62), group_data_final!C:C, 0))</f>
        <v>774.303</v>
      </c>
      <c r="F62" s="74">
        <v>12901475</v>
      </c>
      <c r="G62" s="74">
        <v>7798962</v>
      </c>
      <c r="H62" s="74">
        <v>0.60450157829999995</v>
      </c>
      <c r="I62">
        <f t="shared" si="1"/>
        <v>10072.235287736195</v>
      </c>
    </row>
    <row r="63" spans="1:9" ht="15.75" thickBot="1">
      <c r="A63" s="74">
        <v>2569</v>
      </c>
      <c r="B63" s="74">
        <v>51300</v>
      </c>
      <c r="C63" s="74" t="str">
        <f t="shared" si="0"/>
        <v>513</v>
      </c>
      <c r="D63" s="75" t="s">
        <v>187</v>
      </c>
      <c r="E63" s="75">
        <f>INDEX(group_data_final!D:D, MATCH(VALUE(C63), group_data_final!C:C, 0))</f>
        <v>1003.095</v>
      </c>
      <c r="F63" s="74">
        <v>22862820</v>
      </c>
      <c r="G63" s="74">
        <v>7777294</v>
      </c>
      <c r="H63" s="74">
        <v>0.34017212219999998</v>
      </c>
      <c r="I63">
        <f t="shared" si="1"/>
        <v>7753.2975441010076</v>
      </c>
    </row>
    <row r="64" spans="1:9" ht="15.75" thickBot="1">
      <c r="A64" s="74">
        <v>2569</v>
      </c>
      <c r="B64" s="74">
        <v>61500</v>
      </c>
      <c r="C64" s="74" t="str">
        <f t="shared" si="0"/>
        <v>615</v>
      </c>
      <c r="D64" s="75" t="s">
        <v>169</v>
      </c>
      <c r="E64" s="75">
        <f>INDEX(group_data_final!D:D, MATCH(VALUE(C64), group_data_final!C:C, 0))</f>
        <v>1493.0940000000001</v>
      </c>
      <c r="F64" s="74">
        <v>19182061</v>
      </c>
      <c r="G64" s="74">
        <v>7762102</v>
      </c>
      <c r="H64" s="74">
        <v>0.40465422350000002</v>
      </c>
      <c r="I64">
        <f t="shared" si="1"/>
        <v>5198.6693403094514</v>
      </c>
    </row>
    <row r="65" spans="1:9" ht="15.75" thickBot="1">
      <c r="A65" s="74">
        <v>2569</v>
      </c>
      <c r="B65" s="74">
        <v>43200</v>
      </c>
      <c r="C65" s="74" t="str">
        <f t="shared" si="0"/>
        <v>432</v>
      </c>
      <c r="D65" s="75" t="s">
        <v>173</v>
      </c>
      <c r="E65" s="75">
        <f>INDEX(group_data_final!D:D, MATCH(VALUE(C65), group_data_final!C:C, 0))</f>
        <v>953.30899999999997</v>
      </c>
      <c r="F65" s="74">
        <v>18947639</v>
      </c>
      <c r="G65" s="74">
        <v>7690878</v>
      </c>
      <c r="H65" s="74">
        <v>0.40590165350000001</v>
      </c>
      <c r="I65">
        <f t="shared" si="1"/>
        <v>8067.5604657041949</v>
      </c>
    </row>
    <row r="66" spans="1:9" ht="15.75" thickBot="1">
      <c r="A66" s="74">
        <v>2567</v>
      </c>
      <c r="B66" s="74">
        <v>42600</v>
      </c>
      <c r="C66" s="74" t="str">
        <f t="shared" si="0"/>
        <v>426</v>
      </c>
      <c r="D66" s="75" t="s">
        <v>183</v>
      </c>
      <c r="E66" s="75">
        <f>INDEX(group_data_final!D:D, MATCH(VALUE(C66), group_data_final!C:C, 0))</f>
        <v>960.971</v>
      </c>
      <c r="F66" s="74">
        <v>24512563</v>
      </c>
      <c r="G66" s="74">
        <v>7677171</v>
      </c>
      <c r="H66" s="74">
        <v>0.31319332049999998</v>
      </c>
      <c r="I66">
        <f t="shared" si="1"/>
        <v>7988.9726120767427</v>
      </c>
    </row>
    <row r="67" spans="1:9" ht="15.75" thickBot="1">
      <c r="A67" s="74">
        <v>2568</v>
      </c>
      <c r="B67" s="74">
        <v>42800</v>
      </c>
      <c r="C67" s="74" t="str">
        <f t="shared" ref="C67:C130" si="2">LEFT(B67,3)</f>
        <v>428</v>
      </c>
      <c r="D67" s="75" t="s">
        <v>178</v>
      </c>
      <c r="E67" s="75">
        <f>INDEX(group_data_final!D:D, MATCH(VALUE(C67), group_data_final!C:C, 0))</f>
        <v>934.25900000000001</v>
      </c>
      <c r="F67" s="74">
        <v>33602662</v>
      </c>
      <c r="G67" s="74">
        <v>7631155</v>
      </c>
      <c r="H67" s="74">
        <v>0.22709971609999999</v>
      </c>
      <c r="I67">
        <f t="shared" ref="I67:I130" si="3">G67/E67</f>
        <v>8168.1364589476789</v>
      </c>
    </row>
    <row r="68" spans="1:9" ht="15.75" thickBot="1">
      <c r="A68" s="74">
        <v>2568</v>
      </c>
      <c r="B68" s="74">
        <v>41300</v>
      </c>
      <c r="C68" s="74" t="str">
        <f t="shared" si="2"/>
        <v>413</v>
      </c>
      <c r="D68" s="75" t="s">
        <v>179</v>
      </c>
      <c r="E68" s="75">
        <f>INDEX(group_data_final!D:D, MATCH(VALUE(C68), group_data_final!C:C, 0))</f>
        <v>915.24199999999996</v>
      </c>
      <c r="F68" s="74">
        <v>24944852</v>
      </c>
      <c r="G68" s="74">
        <v>7628043</v>
      </c>
      <c r="H68" s="74">
        <v>0.30579628209999998</v>
      </c>
      <c r="I68">
        <f t="shared" si="3"/>
        <v>8334.4547125241188</v>
      </c>
    </row>
    <row r="69" spans="1:9" ht="27" thickBot="1">
      <c r="A69" s="74">
        <v>2568</v>
      </c>
      <c r="B69" s="74">
        <v>61100</v>
      </c>
      <c r="C69" s="74" t="str">
        <f t="shared" si="2"/>
        <v>611</v>
      </c>
      <c r="D69" s="75" t="s">
        <v>172</v>
      </c>
      <c r="E69" s="75">
        <f>INDEX(group_data_final!D:D, MATCH(VALUE(C69), group_data_final!C:C, 0))</f>
        <v>1080.326</v>
      </c>
      <c r="F69" s="74">
        <v>13696439</v>
      </c>
      <c r="G69" s="74">
        <v>7552567</v>
      </c>
      <c r="H69" s="74">
        <v>0.55142559319999995</v>
      </c>
      <c r="I69">
        <f t="shared" si="3"/>
        <v>6991.0073440794722</v>
      </c>
    </row>
    <row r="70" spans="1:9" ht="15.75" thickBot="1">
      <c r="A70" s="74">
        <v>2569</v>
      </c>
      <c r="B70" s="74">
        <v>42800</v>
      </c>
      <c r="C70" s="74" t="str">
        <f t="shared" si="2"/>
        <v>428</v>
      </c>
      <c r="D70" s="75" t="s">
        <v>178</v>
      </c>
      <c r="E70" s="75">
        <f>INDEX(group_data_final!D:D, MATCH(VALUE(C70), group_data_final!C:C, 0))</f>
        <v>934.25900000000001</v>
      </c>
      <c r="F70" s="74">
        <v>22229900</v>
      </c>
      <c r="G70" s="74">
        <v>7507168</v>
      </c>
      <c r="H70" s="74">
        <v>0.33770588260000001</v>
      </c>
      <c r="I70">
        <f t="shared" si="3"/>
        <v>8035.424866123848</v>
      </c>
    </row>
    <row r="71" spans="1:9" ht="15.75" thickBot="1">
      <c r="A71" s="74">
        <v>2569</v>
      </c>
      <c r="B71" s="74">
        <v>61700</v>
      </c>
      <c r="C71" s="74" t="str">
        <f t="shared" si="2"/>
        <v>617</v>
      </c>
      <c r="D71" s="75" t="s">
        <v>166</v>
      </c>
      <c r="E71" s="75">
        <f>INDEX(group_data_final!D:D, MATCH(VALUE(C71), group_data_final!C:C, 0))</f>
        <v>1498.98</v>
      </c>
      <c r="F71" s="74">
        <v>11343000</v>
      </c>
      <c r="G71" s="74">
        <v>7501438</v>
      </c>
      <c r="H71" s="74">
        <v>0.66132751479999996</v>
      </c>
      <c r="I71">
        <f t="shared" si="3"/>
        <v>5004.3616325768189</v>
      </c>
    </row>
    <row r="72" spans="1:9" ht="27" thickBot="1">
      <c r="A72" s="74">
        <v>2567</v>
      </c>
      <c r="B72" s="74">
        <v>44100</v>
      </c>
      <c r="C72" s="74" t="str">
        <f t="shared" si="2"/>
        <v>441</v>
      </c>
      <c r="D72" s="75" t="s">
        <v>190</v>
      </c>
      <c r="E72" s="75">
        <f>INDEX(group_data_final!D:D, MATCH(VALUE(C72), group_data_final!C:C, 0))</f>
        <v>915.81299999999999</v>
      </c>
      <c r="F72" s="74">
        <v>33135441</v>
      </c>
      <c r="G72" s="74">
        <v>7484842</v>
      </c>
      <c r="H72" s="74">
        <v>0.22588629499999999</v>
      </c>
      <c r="I72">
        <f t="shared" si="3"/>
        <v>8172.8933745207814</v>
      </c>
    </row>
    <row r="73" spans="1:9" ht="15.75" thickBot="1">
      <c r="A73" s="74">
        <v>2568</v>
      </c>
      <c r="B73" s="74">
        <v>41500</v>
      </c>
      <c r="C73" s="74" t="str">
        <f t="shared" si="2"/>
        <v>415</v>
      </c>
      <c r="D73" s="75" t="s">
        <v>210</v>
      </c>
      <c r="E73" s="75">
        <f>INDEX(group_data_final!D:D, MATCH(VALUE(C73), group_data_final!C:C, 0))</f>
        <v>574.74300000000005</v>
      </c>
      <c r="F73" s="74">
        <v>8201288</v>
      </c>
      <c r="G73" s="74">
        <v>7476068</v>
      </c>
      <c r="H73" s="74">
        <v>0.91157242620000001</v>
      </c>
      <c r="I73">
        <f t="shared" si="3"/>
        <v>13007.67125480432</v>
      </c>
    </row>
    <row r="74" spans="1:9" ht="27" thickBot="1">
      <c r="A74" s="74">
        <v>2569</v>
      </c>
      <c r="B74" s="74">
        <v>32500</v>
      </c>
      <c r="C74" s="74" t="str">
        <f t="shared" si="2"/>
        <v>325</v>
      </c>
      <c r="D74" s="75" t="s">
        <v>519</v>
      </c>
      <c r="E74" s="75">
        <f>INDEX(group_data_final!D:D, MATCH(VALUE(C74), group_data_final!C:C, 0))</f>
        <v>837.59100000000001</v>
      </c>
      <c r="F74" s="74">
        <v>19407220</v>
      </c>
      <c r="G74" s="74">
        <v>7463894</v>
      </c>
      <c r="H74" s="74">
        <v>0.38459367179999998</v>
      </c>
      <c r="I74">
        <f t="shared" si="3"/>
        <v>8911.1439831612333</v>
      </c>
    </row>
    <row r="75" spans="1:9" ht="15.75" thickBot="1">
      <c r="A75" s="74">
        <v>2567</v>
      </c>
      <c r="B75" s="74">
        <v>43100</v>
      </c>
      <c r="C75" s="74" t="str">
        <f t="shared" si="2"/>
        <v>431</v>
      </c>
      <c r="D75" s="75" t="s">
        <v>198</v>
      </c>
      <c r="E75" s="75">
        <f>INDEX(group_data_final!D:D, MATCH(VALUE(C75), group_data_final!C:C, 0))</f>
        <v>861.41800000000001</v>
      </c>
      <c r="F75" s="74">
        <v>13523009</v>
      </c>
      <c r="G75" s="74">
        <v>7395760</v>
      </c>
      <c r="H75" s="74">
        <v>0.54690195060000002</v>
      </c>
      <c r="I75">
        <f t="shared" si="3"/>
        <v>8585.5647316401555</v>
      </c>
    </row>
    <row r="76" spans="1:9" ht="15.75" thickBot="1">
      <c r="A76" s="74">
        <v>2567</v>
      </c>
      <c r="B76" s="74">
        <v>52300</v>
      </c>
      <c r="C76" s="74" t="str">
        <f t="shared" si="2"/>
        <v>523</v>
      </c>
      <c r="D76" s="75" t="s">
        <v>208</v>
      </c>
      <c r="E76" s="75">
        <f>INDEX(group_data_final!D:D, MATCH(VALUE(C76), group_data_final!C:C, 0))</f>
        <v>765.85</v>
      </c>
      <c r="F76" s="74">
        <v>15127189</v>
      </c>
      <c r="G76" s="74">
        <v>7328644</v>
      </c>
      <c r="H76" s="74">
        <v>0.48446833049999999</v>
      </c>
      <c r="I76">
        <f t="shared" si="3"/>
        <v>9569.294248220931</v>
      </c>
    </row>
    <row r="77" spans="1:9" ht="15.75" thickBot="1">
      <c r="A77" s="74">
        <v>2567</v>
      </c>
      <c r="B77" s="74">
        <v>51900</v>
      </c>
      <c r="C77" s="74" t="str">
        <f t="shared" si="2"/>
        <v>519</v>
      </c>
      <c r="D77" s="75" t="s">
        <v>219</v>
      </c>
      <c r="E77" s="75">
        <f>INDEX(group_data_final!D:D, MATCH(VALUE(C77), group_data_final!C:C, 0))</f>
        <v>806.99</v>
      </c>
      <c r="F77" s="74">
        <v>16662246</v>
      </c>
      <c r="G77" s="74">
        <v>7319341</v>
      </c>
      <c r="H77" s="74">
        <v>0.43927697380000003</v>
      </c>
      <c r="I77">
        <f t="shared" si="3"/>
        <v>9069.9277562299412</v>
      </c>
    </row>
    <row r="78" spans="1:9" ht="27" thickBot="1">
      <c r="A78" s="74">
        <v>2568</v>
      </c>
      <c r="B78" s="74">
        <v>55100</v>
      </c>
      <c r="C78" s="74" t="str">
        <f t="shared" si="2"/>
        <v>551</v>
      </c>
      <c r="D78" s="75" t="s">
        <v>184</v>
      </c>
      <c r="E78" s="75">
        <f>INDEX(group_data_final!D:D, MATCH(VALUE(C78), group_data_final!C:C, 0))</f>
        <v>991.51599999999996</v>
      </c>
      <c r="F78" s="74">
        <v>17916503</v>
      </c>
      <c r="G78" s="74">
        <v>7300908</v>
      </c>
      <c r="H78" s="74">
        <v>0.407496262</v>
      </c>
      <c r="I78">
        <f t="shared" si="3"/>
        <v>7363.3789066439676</v>
      </c>
    </row>
    <row r="79" spans="1:9" ht="27" thickBot="1">
      <c r="A79" s="74">
        <v>2567</v>
      </c>
      <c r="B79" s="74">
        <v>55500</v>
      </c>
      <c r="C79" s="74" t="str">
        <f t="shared" si="2"/>
        <v>555</v>
      </c>
      <c r="D79" s="75" t="s">
        <v>279</v>
      </c>
      <c r="E79" s="75">
        <f>INDEX(group_data_final!D:D, MATCH(VALUE(C79), group_data_final!C:C, 0))</f>
        <v>575.20000000000005</v>
      </c>
      <c r="F79" s="74">
        <v>21823427</v>
      </c>
      <c r="G79" s="74">
        <v>7297576</v>
      </c>
      <c r="H79" s="74">
        <v>0.3343918441</v>
      </c>
      <c r="I79">
        <f t="shared" si="3"/>
        <v>12687.023643949929</v>
      </c>
    </row>
    <row r="80" spans="1:9" ht="27" thickBot="1">
      <c r="A80" s="74">
        <v>2568</v>
      </c>
      <c r="B80" s="74">
        <v>62800</v>
      </c>
      <c r="C80" s="74" t="str">
        <f t="shared" si="2"/>
        <v>628</v>
      </c>
      <c r="D80" s="75" t="s">
        <v>281</v>
      </c>
      <c r="E80" s="75">
        <f>INDEX(group_data_final!D:D, MATCH(VALUE(C80), group_data_final!C:C, 0))</f>
        <v>645.69000000000005</v>
      </c>
      <c r="F80" s="74">
        <v>14407536</v>
      </c>
      <c r="G80" s="74">
        <v>7177825</v>
      </c>
      <c r="H80" s="74">
        <v>0.49819934510000002</v>
      </c>
      <c r="I80">
        <f t="shared" si="3"/>
        <v>11116.518762873824</v>
      </c>
    </row>
    <row r="81" spans="1:9" ht="15.75" thickBot="1">
      <c r="A81" s="74">
        <v>2568</v>
      </c>
      <c r="B81" s="74">
        <v>33200</v>
      </c>
      <c r="C81" s="74" t="str">
        <f t="shared" si="2"/>
        <v>332</v>
      </c>
      <c r="D81" s="75" t="s">
        <v>240</v>
      </c>
      <c r="E81" s="75">
        <f>INDEX(group_data_final!D:D, MATCH(VALUE(C81), group_data_final!C:C, 0))</f>
        <v>661.423</v>
      </c>
      <c r="F81" s="74">
        <v>24897905</v>
      </c>
      <c r="G81" s="74">
        <v>7158137</v>
      </c>
      <c r="H81" s="74">
        <v>0.28749957069999998</v>
      </c>
      <c r="I81">
        <f t="shared" si="3"/>
        <v>10822.328525013494</v>
      </c>
    </row>
    <row r="82" spans="1:9" ht="15.75" thickBot="1">
      <c r="A82" s="74">
        <v>2568</v>
      </c>
      <c r="B82" s="74">
        <v>44600</v>
      </c>
      <c r="C82" s="74" t="str">
        <f t="shared" si="2"/>
        <v>446</v>
      </c>
      <c r="D82" s="75" t="s">
        <v>243</v>
      </c>
      <c r="E82" s="75">
        <f>INDEX(group_data_final!D:D, MATCH(VALUE(C82), group_data_final!C:C, 0))</f>
        <v>674.495</v>
      </c>
      <c r="F82" s="74">
        <v>26864400</v>
      </c>
      <c r="G82" s="74">
        <v>7137718</v>
      </c>
      <c r="H82" s="74">
        <v>0.26569430179999998</v>
      </c>
      <c r="I82">
        <f t="shared" si="3"/>
        <v>10582.314175790776</v>
      </c>
    </row>
    <row r="83" spans="1:9" ht="27" thickBot="1">
      <c r="A83" s="74">
        <v>2569</v>
      </c>
      <c r="B83" s="74">
        <v>44100</v>
      </c>
      <c r="C83" s="74" t="str">
        <f t="shared" si="2"/>
        <v>441</v>
      </c>
      <c r="D83" s="75" t="s">
        <v>190</v>
      </c>
      <c r="E83" s="75">
        <f>INDEX(group_data_final!D:D, MATCH(VALUE(C83), group_data_final!C:C, 0))</f>
        <v>915.81299999999999</v>
      </c>
      <c r="F83" s="74">
        <v>29726100</v>
      </c>
      <c r="G83" s="74">
        <v>7095033</v>
      </c>
      <c r="H83" s="74">
        <v>0.23868025070000001</v>
      </c>
      <c r="I83">
        <f t="shared" si="3"/>
        <v>7747.2508033845343</v>
      </c>
    </row>
    <row r="84" spans="1:9" ht="27" thickBot="1">
      <c r="A84" s="74">
        <v>2569</v>
      </c>
      <c r="B84" s="74">
        <v>43500</v>
      </c>
      <c r="C84" s="74" t="str">
        <f t="shared" si="2"/>
        <v>435</v>
      </c>
      <c r="D84" s="75" t="s">
        <v>287</v>
      </c>
      <c r="E84" s="75">
        <f>INDEX(group_data_final!D:D, MATCH(VALUE(C84), group_data_final!C:C, 0))</f>
        <v>749.25199999999995</v>
      </c>
      <c r="F84" s="74">
        <v>14044350</v>
      </c>
      <c r="G84" s="74">
        <v>7085131</v>
      </c>
      <c r="H84" s="74">
        <v>0.50448265670000003</v>
      </c>
      <c r="I84">
        <f t="shared" si="3"/>
        <v>9456.2723889959598</v>
      </c>
    </row>
    <row r="85" spans="1:9" ht="27" thickBot="1">
      <c r="A85" s="74">
        <v>2569</v>
      </c>
      <c r="B85" s="74">
        <v>61200</v>
      </c>
      <c r="C85" s="74" t="str">
        <f t="shared" si="2"/>
        <v>612</v>
      </c>
      <c r="D85" s="75" t="s">
        <v>171</v>
      </c>
      <c r="E85" s="75">
        <f>INDEX(group_data_final!D:D, MATCH(VALUE(C85), group_data_final!C:C, 0))</f>
        <v>1055.279</v>
      </c>
      <c r="F85" s="74">
        <v>8872400</v>
      </c>
      <c r="G85" s="74">
        <v>7077187</v>
      </c>
      <c r="H85" s="74">
        <v>0.79766320270000002</v>
      </c>
      <c r="I85">
        <f t="shared" si="3"/>
        <v>6706.4605663525954</v>
      </c>
    </row>
    <row r="86" spans="1:9" ht="15.75" thickBot="1">
      <c r="A86" s="74">
        <v>2569</v>
      </c>
      <c r="B86" s="74">
        <v>41300</v>
      </c>
      <c r="C86" s="74" t="str">
        <f t="shared" si="2"/>
        <v>413</v>
      </c>
      <c r="D86" s="75" t="s">
        <v>179</v>
      </c>
      <c r="E86" s="75">
        <f>INDEX(group_data_final!D:D, MATCH(VALUE(C86), group_data_final!C:C, 0))</f>
        <v>915.24199999999996</v>
      </c>
      <c r="F86" s="74">
        <v>23456618</v>
      </c>
      <c r="G86" s="74">
        <v>7066588</v>
      </c>
      <c r="H86" s="74">
        <v>0.30126201479999998</v>
      </c>
      <c r="I86">
        <f t="shared" si="3"/>
        <v>7721.0049363993348</v>
      </c>
    </row>
    <row r="87" spans="1:9" ht="15.75" thickBot="1">
      <c r="A87" s="74">
        <v>2568</v>
      </c>
      <c r="B87" s="74">
        <v>52200</v>
      </c>
      <c r="C87" s="74" t="str">
        <f t="shared" si="2"/>
        <v>522</v>
      </c>
      <c r="D87" s="75" t="s">
        <v>517</v>
      </c>
      <c r="E87" s="75">
        <f>INDEX(group_data_final!D:D, MATCH(VALUE(C87), group_data_final!C:C, 0))</f>
        <v>922.12800000000004</v>
      </c>
      <c r="F87" s="74">
        <v>16970644</v>
      </c>
      <c r="G87" s="74">
        <v>7051150</v>
      </c>
      <c r="H87" s="74">
        <v>0.41549100909999997</v>
      </c>
      <c r="I87">
        <f t="shared" si="3"/>
        <v>7646.6065448614509</v>
      </c>
    </row>
    <row r="88" spans="1:9" ht="15.75" thickBot="1">
      <c r="A88" s="74">
        <v>2569</v>
      </c>
      <c r="B88" s="74">
        <v>44800</v>
      </c>
      <c r="C88" s="74" t="str">
        <f t="shared" si="2"/>
        <v>448</v>
      </c>
      <c r="D88" s="75" t="s">
        <v>252</v>
      </c>
      <c r="E88" s="75">
        <f>INDEX(group_data_final!D:D, MATCH(VALUE(C88), group_data_final!C:C, 0))</f>
        <v>603.35799999999995</v>
      </c>
      <c r="F88" s="74">
        <v>15345843</v>
      </c>
      <c r="G88" s="74">
        <v>7029973</v>
      </c>
      <c r="H88" s="74">
        <v>0.45810275789999999</v>
      </c>
      <c r="I88">
        <f t="shared" si="3"/>
        <v>11651.412594181233</v>
      </c>
    </row>
    <row r="89" spans="1:9" ht="15.75" thickBot="1">
      <c r="A89" s="74">
        <v>2569</v>
      </c>
      <c r="B89" s="74">
        <v>64600</v>
      </c>
      <c r="C89" s="74" t="str">
        <f t="shared" si="2"/>
        <v>646</v>
      </c>
      <c r="D89" s="75" t="s">
        <v>241</v>
      </c>
      <c r="E89" s="75">
        <f>INDEX(group_data_final!D:D, MATCH(VALUE(C89), group_data_final!C:C, 0))</f>
        <v>678.7</v>
      </c>
      <c r="F89" s="74">
        <v>13380340</v>
      </c>
      <c r="G89" s="74">
        <v>7027097</v>
      </c>
      <c r="H89" s="74">
        <v>0.5251807503</v>
      </c>
      <c r="I89">
        <f t="shared" si="3"/>
        <v>10353.760129659642</v>
      </c>
    </row>
    <row r="90" spans="1:9" ht="15.75" thickBot="1">
      <c r="A90" s="74">
        <v>2569</v>
      </c>
      <c r="B90" s="74">
        <v>52300</v>
      </c>
      <c r="C90" s="74" t="str">
        <f t="shared" si="2"/>
        <v>523</v>
      </c>
      <c r="D90" s="75" t="s">
        <v>208</v>
      </c>
      <c r="E90" s="75">
        <f>INDEX(group_data_final!D:D, MATCH(VALUE(C90), group_data_final!C:C, 0))</f>
        <v>765.85</v>
      </c>
      <c r="F90" s="74">
        <v>14049515</v>
      </c>
      <c r="G90" s="74">
        <v>7008372</v>
      </c>
      <c r="H90" s="74">
        <v>0.49883373199999997</v>
      </c>
      <c r="I90">
        <f t="shared" si="3"/>
        <v>9151.1026963504592</v>
      </c>
    </row>
    <row r="91" spans="1:9" ht="15.75" thickBot="1">
      <c r="A91" s="74">
        <v>2567</v>
      </c>
      <c r="B91" s="74">
        <v>52200</v>
      </c>
      <c r="C91" s="74" t="str">
        <f t="shared" si="2"/>
        <v>522</v>
      </c>
      <c r="D91" s="75" t="s">
        <v>517</v>
      </c>
      <c r="E91" s="75">
        <f>INDEX(group_data_final!D:D, MATCH(VALUE(C91), group_data_final!C:C, 0))</f>
        <v>922.12800000000004</v>
      </c>
      <c r="F91" s="74">
        <v>15948600</v>
      </c>
      <c r="G91" s="74">
        <v>6970889</v>
      </c>
      <c r="H91" s="74">
        <v>0.43708469709999997</v>
      </c>
      <c r="I91">
        <f t="shared" si="3"/>
        <v>7559.5676522131416</v>
      </c>
    </row>
    <row r="92" spans="1:9" ht="15.75" thickBot="1">
      <c r="A92" s="74">
        <v>2567</v>
      </c>
      <c r="B92" s="74">
        <v>53600</v>
      </c>
      <c r="C92" s="74" t="str">
        <f t="shared" si="2"/>
        <v>536</v>
      </c>
      <c r="D92" s="75" t="s">
        <v>237</v>
      </c>
      <c r="E92" s="75">
        <f>INDEX(group_data_final!D:D, MATCH(VALUE(C92), group_data_final!C:C, 0))</f>
        <v>689.76900000000001</v>
      </c>
      <c r="F92" s="74">
        <v>18004518</v>
      </c>
      <c r="G92" s="74">
        <v>6963521</v>
      </c>
      <c r="H92" s="74">
        <v>0.38676519970000001</v>
      </c>
      <c r="I92">
        <f t="shared" si="3"/>
        <v>10095.43919776041</v>
      </c>
    </row>
    <row r="93" spans="1:9" ht="27" thickBot="1">
      <c r="A93" s="74">
        <v>2568</v>
      </c>
      <c r="B93" s="74">
        <v>32900</v>
      </c>
      <c r="C93" s="74" t="str">
        <f t="shared" si="2"/>
        <v>329</v>
      </c>
      <c r="D93" s="75" t="s">
        <v>293</v>
      </c>
      <c r="E93" s="75">
        <f>INDEX(group_data_final!D:D, MATCH(VALUE(C93), group_data_final!C:C, 0))</f>
        <v>673.54</v>
      </c>
      <c r="F93" s="74">
        <v>13707786</v>
      </c>
      <c r="G93" s="74">
        <v>6930585</v>
      </c>
      <c r="H93" s="74">
        <v>0.50559477659999996</v>
      </c>
      <c r="I93">
        <f t="shared" si="3"/>
        <v>10289.789767497105</v>
      </c>
    </row>
    <row r="94" spans="1:9" ht="27" thickBot="1">
      <c r="A94" s="74">
        <v>2568</v>
      </c>
      <c r="B94" s="74">
        <v>55500</v>
      </c>
      <c r="C94" s="74" t="str">
        <f t="shared" si="2"/>
        <v>555</v>
      </c>
      <c r="D94" s="75" t="s">
        <v>279</v>
      </c>
      <c r="E94" s="75">
        <f>INDEX(group_data_final!D:D, MATCH(VALUE(C94), group_data_final!C:C, 0))</f>
        <v>575.20000000000005</v>
      </c>
      <c r="F94" s="74">
        <v>18722122</v>
      </c>
      <c r="G94" s="74">
        <v>6912113</v>
      </c>
      <c r="H94" s="74">
        <v>0.36919495559999999</v>
      </c>
      <c r="I94">
        <f t="shared" si="3"/>
        <v>12016.886300417245</v>
      </c>
    </row>
    <row r="95" spans="1:9" ht="15.75" thickBot="1">
      <c r="A95" s="74">
        <v>2569</v>
      </c>
      <c r="B95" s="74">
        <v>44600</v>
      </c>
      <c r="C95" s="74" t="str">
        <f t="shared" si="2"/>
        <v>446</v>
      </c>
      <c r="D95" s="75" t="s">
        <v>243</v>
      </c>
      <c r="E95" s="75">
        <f>INDEX(group_data_final!D:D, MATCH(VALUE(C95), group_data_final!C:C, 0))</f>
        <v>674.495</v>
      </c>
      <c r="F95" s="74">
        <v>26786300</v>
      </c>
      <c r="G95" s="74">
        <v>6865274</v>
      </c>
      <c r="H95" s="74">
        <v>0.25629795830000002</v>
      </c>
      <c r="I95">
        <f t="shared" si="3"/>
        <v>10178.391240854269</v>
      </c>
    </row>
    <row r="96" spans="1:9" ht="15.75" thickBot="1">
      <c r="A96" s="74">
        <v>2567</v>
      </c>
      <c r="B96" s="74">
        <v>55800</v>
      </c>
      <c r="C96" s="74" t="str">
        <f t="shared" si="2"/>
        <v>558</v>
      </c>
      <c r="D96" s="75" t="s">
        <v>267</v>
      </c>
      <c r="E96" s="75">
        <f>INDEX(group_data_final!D:D, MATCH(VALUE(C96), group_data_final!C:C, 0))</f>
        <v>556.34</v>
      </c>
      <c r="F96" s="74">
        <v>14713269</v>
      </c>
      <c r="G96" s="74">
        <v>6830996</v>
      </c>
      <c r="H96" s="74">
        <v>0.46427452660000001</v>
      </c>
      <c r="I96">
        <f t="shared" si="3"/>
        <v>12278.455620663623</v>
      </c>
    </row>
    <row r="97" spans="1:9" ht="27" thickBot="1">
      <c r="A97" s="74">
        <v>2567</v>
      </c>
      <c r="B97" s="74">
        <v>62700</v>
      </c>
      <c r="C97" s="74" t="str">
        <f t="shared" si="2"/>
        <v>627</v>
      </c>
      <c r="D97" s="75" t="s">
        <v>280</v>
      </c>
      <c r="E97" s="75">
        <f>INDEX(group_data_final!D:D, MATCH(VALUE(C97), group_data_final!C:C, 0))</f>
        <v>687.24599999999998</v>
      </c>
      <c r="F97" s="74">
        <v>15497571</v>
      </c>
      <c r="G97" s="74">
        <v>6806121</v>
      </c>
      <c r="H97" s="74">
        <v>0.4391734034</v>
      </c>
      <c r="I97">
        <f t="shared" si="3"/>
        <v>9903.4712461040162</v>
      </c>
    </row>
    <row r="98" spans="1:9" ht="15.75" thickBot="1">
      <c r="A98" s="74">
        <v>2568</v>
      </c>
      <c r="B98" s="74">
        <v>61800</v>
      </c>
      <c r="C98" s="74" t="str">
        <f t="shared" si="2"/>
        <v>618</v>
      </c>
      <c r="D98" s="75" t="s">
        <v>188</v>
      </c>
      <c r="E98" s="75">
        <f>INDEX(group_data_final!D:D, MATCH(VALUE(C98), group_data_final!C:C, 0))</f>
        <v>880.74400000000003</v>
      </c>
      <c r="F98" s="74">
        <v>4942530</v>
      </c>
      <c r="G98" s="74">
        <v>6784849</v>
      </c>
      <c r="H98" s="74">
        <v>1.3727481669999999</v>
      </c>
      <c r="I98">
        <f t="shared" si="3"/>
        <v>7703.5426866376611</v>
      </c>
    </row>
    <row r="99" spans="1:9" ht="15.75" thickBot="1">
      <c r="A99" s="74">
        <v>2568</v>
      </c>
      <c r="B99" s="74">
        <v>43100</v>
      </c>
      <c r="C99" s="74" t="str">
        <f t="shared" si="2"/>
        <v>431</v>
      </c>
      <c r="D99" s="75" t="s">
        <v>198</v>
      </c>
      <c r="E99" s="75">
        <f>INDEX(group_data_final!D:D, MATCH(VALUE(C99), group_data_final!C:C, 0))</f>
        <v>861.41800000000001</v>
      </c>
      <c r="F99" s="74">
        <v>12900000</v>
      </c>
      <c r="G99" s="74">
        <v>6774571</v>
      </c>
      <c r="H99" s="74">
        <v>0.5251605426</v>
      </c>
      <c r="I99">
        <f t="shared" si="3"/>
        <v>7864.4409566551894</v>
      </c>
    </row>
    <row r="100" spans="1:9" ht="15.75" thickBot="1">
      <c r="A100" s="74">
        <v>2569</v>
      </c>
      <c r="B100" s="74">
        <v>31300</v>
      </c>
      <c r="C100" s="74" t="str">
        <f t="shared" si="2"/>
        <v>313</v>
      </c>
      <c r="D100" s="75" t="s">
        <v>271</v>
      </c>
      <c r="E100" s="75">
        <f>INDEX(group_data_final!D:D, MATCH(VALUE(C100), group_data_final!C:C, 0))</f>
        <v>536.76499999999999</v>
      </c>
      <c r="F100" s="74">
        <v>11379856</v>
      </c>
      <c r="G100" s="74">
        <v>6767893</v>
      </c>
      <c r="H100" s="74">
        <v>0.59472571529999996</v>
      </c>
      <c r="I100">
        <f t="shared" si="3"/>
        <v>12608.670461002488</v>
      </c>
    </row>
    <row r="101" spans="1:9" ht="27" thickBot="1">
      <c r="A101" s="74">
        <v>2569</v>
      </c>
      <c r="B101" s="74">
        <v>51500</v>
      </c>
      <c r="C101" s="74" t="str">
        <f t="shared" si="2"/>
        <v>515</v>
      </c>
      <c r="D101" s="75" t="s">
        <v>286</v>
      </c>
      <c r="E101" s="75">
        <f>INDEX(group_data_final!D:D, MATCH(VALUE(C101), group_data_final!C:C, 0))</f>
        <v>826.49099999999999</v>
      </c>
      <c r="F101" s="74">
        <v>16602788</v>
      </c>
      <c r="G101" s="74">
        <v>6749183</v>
      </c>
      <c r="H101" s="74">
        <v>0.40650901519999999</v>
      </c>
      <c r="I101">
        <f t="shared" si="3"/>
        <v>8166.0695639758933</v>
      </c>
    </row>
    <row r="102" spans="1:9" ht="27" thickBot="1">
      <c r="A102" s="74">
        <v>2568</v>
      </c>
      <c r="B102" s="74">
        <v>43500</v>
      </c>
      <c r="C102" s="74" t="str">
        <f t="shared" si="2"/>
        <v>435</v>
      </c>
      <c r="D102" s="75" t="s">
        <v>287</v>
      </c>
      <c r="E102" s="75">
        <f>INDEX(group_data_final!D:D, MATCH(VALUE(C102), group_data_final!C:C, 0))</f>
        <v>749.25199999999995</v>
      </c>
      <c r="F102" s="74">
        <v>15522244</v>
      </c>
      <c r="G102" s="74">
        <v>6726758</v>
      </c>
      <c r="H102" s="74">
        <v>0.43336247</v>
      </c>
      <c r="I102">
        <f t="shared" si="3"/>
        <v>8977.9646901176111</v>
      </c>
    </row>
    <row r="103" spans="1:9" ht="15.75" thickBot="1">
      <c r="A103" s="74">
        <v>2569</v>
      </c>
      <c r="B103" s="74">
        <v>43100</v>
      </c>
      <c r="C103" s="74" t="str">
        <f t="shared" si="2"/>
        <v>431</v>
      </c>
      <c r="D103" s="75" t="s">
        <v>198</v>
      </c>
      <c r="E103" s="75">
        <f>INDEX(group_data_final!D:D, MATCH(VALUE(C103), group_data_final!C:C, 0))</f>
        <v>861.41800000000001</v>
      </c>
      <c r="F103" s="74">
        <v>12860000</v>
      </c>
      <c r="G103" s="74">
        <v>6622824</v>
      </c>
      <c r="H103" s="74">
        <v>0.51499409019999998</v>
      </c>
      <c r="I103">
        <f t="shared" si="3"/>
        <v>7688.2814150621416</v>
      </c>
    </row>
    <row r="104" spans="1:9" ht="27" thickBot="1">
      <c r="A104" s="74">
        <v>2567</v>
      </c>
      <c r="B104" s="74">
        <v>44500</v>
      </c>
      <c r="C104" s="74" t="str">
        <f t="shared" si="2"/>
        <v>445</v>
      </c>
      <c r="D104" s="75" t="s">
        <v>290</v>
      </c>
      <c r="E104" s="75">
        <f>INDEX(group_data_final!D:D, MATCH(VALUE(C104), group_data_final!C:C, 0))</f>
        <v>1050.7570000000001</v>
      </c>
      <c r="F104" s="74">
        <v>28323875</v>
      </c>
      <c r="G104" s="74">
        <v>6611396</v>
      </c>
      <c r="H104" s="74">
        <v>0.2334213098</v>
      </c>
      <c r="I104">
        <f t="shared" si="3"/>
        <v>6292.0313640546765</v>
      </c>
    </row>
    <row r="105" spans="1:9" ht="15.75" thickBot="1">
      <c r="A105" s="74">
        <v>2568</v>
      </c>
      <c r="B105" s="74">
        <v>55400</v>
      </c>
      <c r="C105" s="74" t="str">
        <f t="shared" si="2"/>
        <v>554</v>
      </c>
      <c r="D105" s="75" t="s">
        <v>216</v>
      </c>
      <c r="E105" s="75">
        <f>INDEX(group_data_final!D:D, MATCH(VALUE(C105), group_data_final!C:C, 0))</f>
        <v>813.49900000000002</v>
      </c>
      <c r="F105" s="74">
        <v>14116956</v>
      </c>
      <c r="G105" s="74">
        <v>6597334</v>
      </c>
      <c r="H105" s="74">
        <v>0.46733403429999998</v>
      </c>
      <c r="I105">
        <f t="shared" si="3"/>
        <v>8109.8243513513844</v>
      </c>
    </row>
    <row r="106" spans="1:9" ht="27" thickBot="1">
      <c r="A106" s="74">
        <v>2567</v>
      </c>
      <c r="B106" s="74">
        <v>62400</v>
      </c>
      <c r="C106" s="74" t="str">
        <f t="shared" si="2"/>
        <v>624</v>
      </c>
      <c r="D106" s="75" t="s">
        <v>294</v>
      </c>
      <c r="E106" s="75">
        <f>INDEX(group_data_final!D:D, MATCH(VALUE(C106), group_data_final!C:C, 0))</f>
        <v>679.35299999999995</v>
      </c>
      <c r="F106" s="74">
        <v>13514500</v>
      </c>
      <c r="G106" s="74">
        <v>6546206</v>
      </c>
      <c r="H106" s="74">
        <v>0.48438388399999999</v>
      </c>
      <c r="I106">
        <f t="shared" si="3"/>
        <v>9635.9418446669115</v>
      </c>
    </row>
    <row r="107" spans="1:9" ht="15.75" thickBot="1">
      <c r="A107" s="74">
        <v>2567</v>
      </c>
      <c r="B107" s="74">
        <v>64600</v>
      </c>
      <c r="C107" s="74" t="str">
        <f t="shared" si="2"/>
        <v>646</v>
      </c>
      <c r="D107" s="75" t="s">
        <v>241</v>
      </c>
      <c r="E107" s="75">
        <f>INDEX(group_data_final!D:D, MATCH(VALUE(C107), group_data_final!C:C, 0))</f>
        <v>678.7</v>
      </c>
      <c r="F107" s="74">
        <v>13609658</v>
      </c>
      <c r="G107" s="74">
        <v>6536669</v>
      </c>
      <c r="H107" s="74">
        <v>0.48029634539999999</v>
      </c>
      <c r="I107">
        <f t="shared" si="3"/>
        <v>9631.1610431707668</v>
      </c>
    </row>
    <row r="108" spans="1:9" ht="15.75" thickBot="1">
      <c r="A108" s="74">
        <v>2567</v>
      </c>
      <c r="B108" s="74">
        <v>31300</v>
      </c>
      <c r="C108" s="74" t="str">
        <f t="shared" si="2"/>
        <v>313</v>
      </c>
      <c r="D108" s="75" t="s">
        <v>271</v>
      </c>
      <c r="E108" s="75">
        <f>INDEX(group_data_final!D:D, MATCH(VALUE(C108), group_data_final!C:C, 0))</f>
        <v>536.76499999999999</v>
      </c>
      <c r="F108" s="74">
        <v>17843074</v>
      </c>
      <c r="G108" s="74">
        <v>6536245</v>
      </c>
      <c r="H108" s="74">
        <v>0.36631832609999998</v>
      </c>
      <c r="I108">
        <f t="shared" si="3"/>
        <v>12177.107300215179</v>
      </c>
    </row>
    <row r="109" spans="1:9" ht="15.75" thickBot="1">
      <c r="A109" s="74">
        <v>2567</v>
      </c>
      <c r="B109" s="74">
        <v>55700</v>
      </c>
      <c r="C109" s="74" t="str">
        <f t="shared" si="2"/>
        <v>557</v>
      </c>
      <c r="D109" s="75" t="s">
        <v>266</v>
      </c>
      <c r="E109" s="75">
        <f>INDEX(group_data_final!D:D, MATCH(VALUE(C109), group_data_final!C:C, 0))</f>
        <v>590.94799999999998</v>
      </c>
      <c r="F109" s="74">
        <v>21369225</v>
      </c>
      <c r="G109" s="74">
        <v>6507982</v>
      </c>
      <c r="H109" s="74">
        <v>0.30454927590000003</v>
      </c>
      <c r="I109">
        <f t="shared" si="3"/>
        <v>11012.782850606145</v>
      </c>
    </row>
    <row r="110" spans="1:9" ht="27" thickBot="1">
      <c r="A110" s="74">
        <v>2567</v>
      </c>
      <c r="B110" s="74">
        <v>51100</v>
      </c>
      <c r="C110" s="74" t="str">
        <f t="shared" si="2"/>
        <v>511</v>
      </c>
      <c r="D110" s="75" t="s">
        <v>215</v>
      </c>
      <c r="E110" s="75">
        <f>INDEX(group_data_final!D:D, MATCH(VALUE(C110), group_data_final!C:C, 0))</f>
        <v>774.96500000000003</v>
      </c>
      <c r="F110" s="74">
        <v>14309480</v>
      </c>
      <c r="G110" s="74">
        <v>6497235</v>
      </c>
      <c r="H110" s="74">
        <v>0.45405109059999998</v>
      </c>
      <c r="I110">
        <f t="shared" si="3"/>
        <v>8383.9076603459507</v>
      </c>
    </row>
    <row r="111" spans="1:9" ht="27" thickBot="1">
      <c r="A111" s="74">
        <v>2569</v>
      </c>
      <c r="B111" s="74">
        <v>51100</v>
      </c>
      <c r="C111" s="74" t="str">
        <f t="shared" si="2"/>
        <v>511</v>
      </c>
      <c r="D111" s="75" t="s">
        <v>215</v>
      </c>
      <c r="E111" s="75">
        <f>INDEX(group_data_final!D:D, MATCH(VALUE(C111), group_data_final!C:C, 0))</f>
        <v>774.96500000000003</v>
      </c>
      <c r="F111" s="74">
        <v>15741940</v>
      </c>
      <c r="G111" s="74">
        <v>6493887</v>
      </c>
      <c r="H111" s="74">
        <v>0.41252139189999998</v>
      </c>
      <c r="I111">
        <f t="shared" si="3"/>
        <v>8379.5874652403654</v>
      </c>
    </row>
    <row r="112" spans="1:9" ht="15.75" thickBot="1">
      <c r="A112" s="74">
        <v>2568</v>
      </c>
      <c r="B112" s="74">
        <v>61500</v>
      </c>
      <c r="C112" s="74" t="str">
        <f t="shared" si="2"/>
        <v>615</v>
      </c>
      <c r="D112" s="75" t="s">
        <v>169</v>
      </c>
      <c r="E112" s="75">
        <f>INDEX(group_data_final!D:D, MATCH(VALUE(C112), group_data_final!C:C, 0))</f>
        <v>1493.0940000000001</v>
      </c>
      <c r="F112" s="74">
        <v>16015178</v>
      </c>
      <c r="G112" s="74">
        <v>6471299</v>
      </c>
      <c r="H112" s="74">
        <v>0.40407287390000002</v>
      </c>
      <c r="I112">
        <f t="shared" si="3"/>
        <v>4334.1537773241334</v>
      </c>
    </row>
    <row r="113" spans="1:9" ht="15.75" thickBot="1">
      <c r="A113" s="74">
        <v>2568</v>
      </c>
      <c r="B113" s="74">
        <v>64600</v>
      </c>
      <c r="C113" s="74" t="str">
        <f t="shared" si="2"/>
        <v>646</v>
      </c>
      <c r="D113" s="75" t="s">
        <v>241</v>
      </c>
      <c r="E113" s="75">
        <f>INDEX(group_data_final!D:D, MATCH(VALUE(C113), group_data_final!C:C, 0))</f>
        <v>678.7</v>
      </c>
      <c r="F113" s="74">
        <v>13072737</v>
      </c>
      <c r="G113" s="74">
        <v>6470360</v>
      </c>
      <c r="H113" s="74">
        <v>0.49495067479999999</v>
      </c>
      <c r="I113">
        <f t="shared" si="3"/>
        <v>9533.4610284367172</v>
      </c>
    </row>
    <row r="114" spans="1:9" ht="27" thickBot="1">
      <c r="A114" s="74">
        <v>2568</v>
      </c>
      <c r="B114" s="74">
        <v>51100</v>
      </c>
      <c r="C114" s="74" t="str">
        <f t="shared" si="2"/>
        <v>511</v>
      </c>
      <c r="D114" s="75" t="s">
        <v>215</v>
      </c>
      <c r="E114" s="75">
        <f>INDEX(group_data_final!D:D, MATCH(VALUE(C114), group_data_final!C:C, 0))</f>
        <v>774.96500000000003</v>
      </c>
      <c r="F114" s="74">
        <v>13501200</v>
      </c>
      <c r="G114" s="74">
        <v>6418524</v>
      </c>
      <c r="H114" s="74">
        <v>0.47540396410000002</v>
      </c>
      <c r="I114">
        <f t="shared" si="3"/>
        <v>8282.3404927964493</v>
      </c>
    </row>
    <row r="115" spans="1:9" ht="27" thickBot="1">
      <c r="A115" s="74">
        <v>2569</v>
      </c>
      <c r="B115" s="74">
        <v>43800</v>
      </c>
      <c r="C115" s="74" t="str">
        <f t="shared" si="2"/>
        <v>438</v>
      </c>
      <c r="D115" s="75" t="s">
        <v>284</v>
      </c>
      <c r="E115" s="75">
        <f>INDEX(group_data_final!D:D, MATCH(VALUE(C115), group_data_final!C:C, 0))</f>
        <v>841.38699999999994</v>
      </c>
      <c r="F115" s="74">
        <v>13652085</v>
      </c>
      <c r="G115" s="74">
        <v>6400073</v>
      </c>
      <c r="H115" s="74">
        <v>0.46879820919999998</v>
      </c>
      <c r="I115">
        <f t="shared" si="3"/>
        <v>7606.5746202401515</v>
      </c>
    </row>
    <row r="116" spans="1:9" ht="15.75" thickBot="1">
      <c r="A116" s="74">
        <v>2567</v>
      </c>
      <c r="B116" s="74">
        <v>62600</v>
      </c>
      <c r="C116" s="74" t="str">
        <f t="shared" si="2"/>
        <v>626</v>
      </c>
      <c r="D116" s="75" t="s">
        <v>204</v>
      </c>
      <c r="E116" s="75">
        <f>INDEX(group_data_final!D:D, MATCH(VALUE(C116), group_data_final!C:C, 0))</f>
        <v>830.04300000000001</v>
      </c>
      <c r="F116" s="74">
        <v>20523199</v>
      </c>
      <c r="G116" s="74">
        <v>6359622</v>
      </c>
      <c r="H116" s="74">
        <v>0.30987479099999998</v>
      </c>
      <c r="I116">
        <f t="shared" si="3"/>
        <v>7661.7982441873492</v>
      </c>
    </row>
    <row r="117" spans="1:9" ht="15.75" thickBot="1">
      <c r="A117" s="74">
        <v>2569</v>
      </c>
      <c r="B117" s="74">
        <v>55400</v>
      </c>
      <c r="C117" s="74" t="str">
        <f t="shared" si="2"/>
        <v>554</v>
      </c>
      <c r="D117" s="75" t="s">
        <v>216</v>
      </c>
      <c r="E117" s="75">
        <f>INDEX(group_data_final!D:D, MATCH(VALUE(C117), group_data_final!C:C, 0))</f>
        <v>813.49900000000002</v>
      </c>
      <c r="F117" s="74">
        <v>13579200</v>
      </c>
      <c r="G117" s="74">
        <v>6312326</v>
      </c>
      <c r="H117" s="74">
        <v>0.46485256860000002</v>
      </c>
      <c r="I117">
        <f t="shared" si="3"/>
        <v>7759.476041150634</v>
      </c>
    </row>
    <row r="118" spans="1:9" ht="15.75" thickBot="1">
      <c r="A118" s="74">
        <v>2569</v>
      </c>
      <c r="B118" s="74">
        <v>52100</v>
      </c>
      <c r="C118" s="74" t="str">
        <f t="shared" si="2"/>
        <v>521</v>
      </c>
      <c r="D118" s="75" t="s">
        <v>516</v>
      </c>
      <c r="E118" s="75">
        <f>INDEX(group_data_final!D:D, MATCH(VALUE(C118), group_data_final!C:C, 0))</f>
        <v>760.61199999999997</v>
      </c>
      <c r="F118" s="74">
        <v>12813063</v>
      </c>
      <c r="G118" s="74">
        <v>6311756</v>
      </c>
      <c r="H118" s="74">
        <v>0.49260321280000002</v>
      </c>
      <c r="I118">
        <f t="shared" si="3"/>
        <v>8298.2598223535788</v>
      </c>
    </row>
    <row r="119" spans="1:9" ht="15.75" thickBot="1">
      <c r="A119" s="74">
        <v>2569</v>
      </c>
      <c r="B119" s="74">
        <v>62300</v>
      </c>
      <c r="C119" s="74" t="str">
        <f t="shared" si="2"/>
        <v>623</v>
      </c>
      <c r="D119" s="75" t="s">
        <v>235</v>
      </c>
      <c r="E119" s="75">
        <f>INDEX(group_data_final!D:D, MATCH(VALUE(C119), group_data_final!C:C, 0))</f>
        <v>709.95100000000002</v>
      </c>
      <c r="F119" s="74">
        <v>12585800</v>
      </c>
      <c r="G119" s="74">
        <v>6209558</v>
      </c>
      <c r="H119" s="74">
        <v>0.4933780928</v>
      </c>
      <c r="I119">
        <f t="shared" si="3"/>
        <v>8746.4599669554664</v>
      </c>
    </row>
    <row r="120" spans="1:9" ht="27" thickBot="1">
      <c r="A120" s="74">
        <v>2569</v>
      </c>
      <c r="B120" s="74">
        <v>32600</v>
      </c>
      <c r="C120" s="74" t="str">
        <f t="shared" si="2"/>
        <v>326</v>
      </c>
      <c r="D120" s="75" t="s">
        <v>283</v>
      </c>
      <c r="E120" s="75">
        <f>INDEX(group_data_final!D:D, MATCH(VALUE(C120), group_data_final!C:C, 0))</f>
        <v>796.76300000000003</v>
      </c>
      <c r="F120" s="74">
        <v>26917860</v>
      </c>
      <c r="G120" s="74">
        <v>6187087</v>
      </c>
      <c r="H120" s="74">
        <v>0.22985062710000001</v>
      </c>
      <c r="I120">
        <f t="shared" si="3"/>
        <v>7765.2790101950013</v>
      </c>
    </row>
    <row r="121" spans="1:9" ht="27" thickBot="1">
      <c r="A121" s="74">
        <v>2568</v>
      </c>
      <c r="B121" s="74">
        <v>44500</v>
      </c>
      <c r="C121" s="74" t="str">
        <f t="shared" si="2"/>
        <v>445</v>
      </c>
      <c r="D121" s="75" t="s">
        <v>290</v>
      </c>
      <c r="E121" s="75">
        <f>INDEX(group_data_final!D:D, MATCH(VALUE(C121), group_data_final!C:C, 0))</f>
        <v>1050.7570000000001</v>
      </c>
      <c r="F121" s="74">
        <v>20673970</v>
      </c>
      <c r="G121" s="74">
        <v>6177597</v>
      </c>
      <c r="H121" s="74">
        <v>0.29881038809999999</v>
      </c>
      <c r="I121">
        <f t="shared" si="3"/>
        <v>5879.1871003476535</v>
      </c>
    </row>
    <row r="122" spans="1:9" ht="27" thickBot="1">
      <c r="A122" s="74">
        <v>2567</v>
      </c>
      <c r="B122" s="74">
        <v>32900</v>
      </c>
      <c r="C122" s="74" t="str">
        <f t="shared" si="2"/>
        <v>329</v>
      </c>
      <c r="D122" s="75" t="s">
        <v>293</v>
      </c>
      <c r="E122" s="75">
        <f>INDEX(group_data_final!D:D, MATCH(VALUE(C122), group_data_final!C:C, 0))</f>
        <v>673.54</v>
      </c>
      <c r="F122" s="74">
        <v>14308217</v>
      </c>
      <c r="G122" s="74">
        <v>6147727</v>
      </c>
      <c r="H122" s="74">
        <v>0.42966408740000001</v>
      </c>
      <c r="I122">
        <f t="shared" si="3"/>
        <v>9127.4861181221604</v>
      </c>
    </row>
    <row r="123" spans="1:9" ht="27" thickBot="1">
      <c r="A123" s="74">
        <v>2568</v>
      </c>
      <c r="B123" s="74">
        <v>43800</v>
      </c>
      <c r="C123" s="74" t="str">
        <f t="shared" si="2"/>
        <v>438</v>
      </c>
      <c r="D123" s="75" t="s">
        <v>284</v>
      </c>
      <c r="E123" s="75">
        <f>INDEX(group_data_final!D:D, MATCH(VALUE(C123), group_data_final!C:C, 0))</f>
        <v>841.38699999999994</v>
      </c>
      <c r="F123" s="74">
        <v>12794000</v>
      </c>
      <c r="G123" s="74">
        <v>6123755</v>
      </c>
      <c r="H123" s="74">
        <v>0.47864272320000001</v>
      </c>
      <c r="I123">
        <f t="shared" si="3"/>
        <v>7278.1668839665936</v>
      </c>
    </row>
    <row r="124" spans="1:9" ht="15.75" thickBot="1">
      <c r="A124" s="74">
        <v>2568</v>
      </c>
      <c r="B124" s="74">
        <v>55800</v>
      </c>
      <c r="C124" s="74" t="str">
        <f t="shared" si="2"/>
        <v>558</v>
      </c>
      <c r="D124" s="75" t="s">
        <v>267</v>
      </c>
      <c r="E124" s="75">
        <f>INDEX(group_data_final!D:D, MATCH(VALUE(C124), group_data_final!C:C, 0))</f>
        <v>556.34</v>
      </c>
      <c r="F124" s="74">
        <v>8592004</v>
      </c>
      <c r="G124" s="74">
        <v>6079603</v>
      </c>
      <c r="H124" s="74">
        <v>0.70758847410000003</v>
      </c>
      <c r="I124">
        <f t="shared" si="3"/>
        <v>10927.855268361074</v>
      </c>
    </row>
    <row r="125" spans="1:9" ht="27" thickBot="1">
      <c r="A125" s="74">
        <v>2568</v>
      </c>
      <c r="B125" s="74">
        <v>61200</v>
      </c>
      <c r="C125" s="74" t="str">
        <f t="shared" si="2"/>
        <v>612</v>
      </c>
      <c r="D125" s="75" t="s">
        <v>171</v>
      </c>
      <c r="E125" s="75">
        <f>INDEX(group_data_final!D:D, MATCH(VALUE(C125), group_data_final!C:C, 0))</f>
        <v>1055.279</v>
      </c>
      <c r="F125" s="74">
        <v>9223618</v>
      </c>
      <c r="G125" s="74">
        <v>6052285</v>
      </c>
      <c r="H125" s="74">
        <v>0.65617255610000003</v>
      </c>
      <c r="I125">
        <f t="shared" si="3"/>
        <v>5735.246318746038</v>
      </c>
    </row>
    <row r="126" spans="1:9" ht="15.75" thickBot="1">
      <c r="A126" s="74">
        <v>2569</v>
      </c>
      <c r="B126" s="74">
        <v>55700</v>
      </c>
      <c r="C126" s="74" t="str">
        <f t="shared" si="2"/>
        <v>557</v>
      </c>
      <c r="D126" s="75" t="s">
        <v>266</v>
      </c>
      <c r="E126" s="75">
        <f>INDEX(group_data_final!D:D, MATCH(VALUE(C126), group_data_final!C:C, 0))</f>
        <v>590.94799999999998</v>
      </c>
      <c r="F126" s="74">
        <v>18067724</v>
      </c>
      <c r="G126" s="74">
        <v>6032981</v>
      </c>
      <c r="H126" s="74">
        <v>0.33390929590000001</v>
      </c>
      <c r="I126">
        <f t="shared" si="3"/>
        <v>10208.987931256219</v>
      </c>
    </row>
    <row r="127" spans="1:9" ht="15.75" thickBot="1">
      <c r="A127" s="74">
        <v>2568</v>
      </c>
      <c r="B127" s="74">
        <v>64700</v>
      </c>
      <c r="C127" s="74" t="str">
        <f t="shared" si="2"/>
        <v>647</v>
      </c>
      <c r="D127" s="75" t="s">
        <v>189</v>
      </c>
      <c r="E127" s="75">
        <f>INDEX(group_data_final!D:D, MATCH(VALUE(C127), group_data_final!C:C, 0))</f>
        <v>945.15800000000002</v>
      </c>
      <c r="F127" s="74">
        <v>10773796</v>
      </c>
      <c r="G127" s="74">
        <v>6015500</v>
      </c>
      <c r="H127" s="74">
        <v>0.55834545219999998</v>
      </c>
      <c r="I127">
        <f t="shared" si="3"/>
        <v>6364.5443407345647</v>
      </c>
    </row>
    <row r="128" spans="1:9" ht="27" thickBot="1">
      <c r="A128" s="74">
        <v>2567</v>
      </c>
      <c r="B128" s="74">
        <v>51500</v>
      </c>
      <c r="C128" s="74" t="str">
        <f t="shared" si="2"/>
        <v>515</v>
      </c>
      <c r="D128" s="75" t="s">
        <v>286</v>
      </c>
      <c r="E128" s="75">
        <f>INDEX(group_data_final!D:D, MATCH(VALUE(C128), group_data_final!C:C, 0))</f>
        <v>826.49099999999999</v>
      </c>
      <c r="F128" s="74">
        <v>22456625</v>
      </c>
      <c r="G128" s="74">
        <v>6009741</v>
      </c>
      <c r="H128" s="74">
        <v>0.26761550319999999</v>
      </c>
      <c r="I128">
        <f t="shared" si="3"/>
        <v>7271.3931549163872</v>
      </c>
    </row>
    <row r="129" spans="1:9" ht="27" thickBot="1">
      <c r="A129" s="74">
        <v>2567</v>
      </c>
      <c r="B129" s="74">
        <v>33300</v>
      </c>
      <c r="C129" s="74" t="str">
        <f t="shared" si="2"/>
        <v>333</v>
      </c>
      <c r="D129" s="75" t="s">
        <v>285</v>
      </c>
      <c r="E129" s="75">
        <f>INDEX(group_data_final!D:D, MATCH(VALUE(C129), group_data_final!C:C, 0))</f>
        <v>721.52499999999998</v>
      </c>
      <c r="F129" s="74">
        <v>16872796</v>
      </c>
      <c r="G129" s="74">
        <v>6008649</v>
      </c>
      <c r="H129" s="74">
        <v>0.35611460010000001</v>
      </c>
      <c r="I129">
        <f t="shared" si="3"/>
        <v>8327.7072866498038</v>
      </c>
    </row>
    <row r="130" spans="1:9" ht="15.75" thickBot="1">
      <c r="A130" s="74">
        <v>2569</v>
      </c>
      <c r="B130" s="74">
        <v>62600</v>
      </c>
      <c r="C130" s="74" t="str">
        <f t="shared" si="2"/>
        <v>626</v>
      </c>
      <c r="D130" s="75" t="s">
        <v>204</v>
      </c>
      <c r="E130" s="75">
        <f>INDEX(group_data_final!D:D, MATCH(VALUE(C130), group_data_final!C:C, 0))</f>
        <v>830.04300000000001</v>
      </c>
      <c r="F130" s="74">
        <v>22709345</v>
      </c>
      <c r="G130" s="74">
        <v>5992891</v>
      </c>
      <c r="H130" s="74">
        <v>0.26389536990000001</v>
      </c>
      <c r="I130">
        <f t="shared" si="3"/>
        <v>7219.9765554314654</v>
      </c>
    </row>
    <row r="131" spans="1:9" ht="15.75" thickBot="1">
      <c r="A131" s="74">
        <v>2567</v>
      </c>
      <c r="B131" s="74">
        <v>43200</v>
      </c>
      <c r="C131" s="74" t="str">
        <f t="shared" ref="C131:C194" si="4">LEFT(B131,3)</f>
        <v>432</v>
      </c>
      <c r="D131" s="75" t="s">
        <v>173</v>
      </c>
      <c r="E131" s="75">
        <f>INDEX(group_data_final!D:D, MATCH(VALUE(C131), group_data_final!C:C, 0))</f>
        <v>953.30899999999997</v>
      </c>
      <c r="F131" s="74">
        <v>14472926</v>
      </c>
      <c r="G131" s="74">
        <v>5984684</v>
      </c>
      <c r="H131" s="74">
        <v>0.41350892</v>
      </c>
      <c r="I131">
        <f t="shared" ref="I131:I194" si="5">G131/E131</f>
        <v>6277.8007970133503</v>
      </c>
    </row>
    <row r="132" spans="1:9" ht="27" thickBot="1">
      <c r="A132" s="74">
        <v>2567</v>
      </c>
      <c r="B132" s="74">
        <v>32500</v>
      </c>
      <c r="C132" s="74" t="str">
        <f t="shared" si="4"/>
        <v>325</v>
      </c>
      <c r="D132" s="75" t="s">
        <v>519</v>
      </c>
      <c r="E132" s="75">
        <f>INDEX(group_data_final!D:D, MATCH(VALUE(C132), group_data_final!C:C, 0))</f>
        <v>837.59100000000001</v>
      </c>
      <c r="F132" s="74">
        <v>26114463</v>
      </c>
      <c r="G132" s="74">
        <v>5983287</v>
      </c>
      <c r="H132" s="74">
        <v>0.22911774979999999</v>
      </c>
      <c r="I132">
        <f t="shared" si="5"/>
        <v>7143.4471000762906</v>
      </c>
    </row>
    <row r="133" spans="1:9" ht="27" thickBot="1">
      <c r="A133" s="74">
        <v>2569</v>
      </c>
      <c r="B133" s="74">
        <v>55100</v>
      </c>
      <c r="C133" s="74" t="str">
        <f t="shared" si="4"/>
        <v>551</v>
      </c>
      <c r="D133" s="75" t="s">
        <v>184</v>
      </c>
      <c r="E133" s="75">
        <f>INDEX(group_data_final!D:D, MATCH(VALUE(C133), group_data_final!C:C, 0))</f>
        <v>991.51599999999996</v>
      </c>
      <c r="F133" s="74">
        <v>15159900</v>
      </c>
      <c r="G133" s="74">
        <v>5983287</v>
      </c>
      <c r="H133" s="74">
        <v>0.39467852689999999</v>
      </c>
      <c r="I133">
        <f t="shared" si="5"/>
        <v>6034.4835585104029</v>
      </c>
    </row>
    <row r="134" spans="1:9" ht="27" thickBot="1">
      <c r="A134" s="74">
        <v>2568</v>
      </c>
      <c r="B134" s="74">
        <v>32600</v>
      </c>
      <c r="C134" s="74" t="str">
        <f t="shared" si="4"/>
        <v>326</v>
      </c>
      <c r="D134" s="75" t="s">
        <v>283</v>
      </c>
      <c r="E134" s="75">
        <f>INDEX(group_data_final!D:D, MATCH(VALUE(C134), group_data_final!C:C, 0))</f>
        <v>796.76300000000003</v>
      </c>
      <c r="F134" s="74">
        <v>27462560</v>
      </c>
      <c r="G134" s="74">
        <v>5974721</v>
      </c>
      <c r="H134" s="74">
        <v>0.2175587782</v>
      </c>
      <c r="I134">
        <f t="shared" si="5"/>
        <v>7498.7430390216414</v>
      </c>
    </row>
    <row r="135" spans="1:9" ht="27" thickBot="1">
      <c r="A135" s="74">
        <v>2568</v>
      </c>
      <c r="B135" s="74">
        <v>51400</v>
      </c>
      <c r="C135" s="74" t="str">
        <f t="shared" si="4"/>
        <v>514</v>
      </c>
      <c r="D135" s="75" t="s">
        <v>282</v>
      </c>
      <c r="E135" s="75">
        <f>INDEX(group_data_final!D:D, MATCH(VALUE(C135), group_data_final!C:C, 0))</f>
        <v>838.37300000000005</v>
      </c>
      <c r="F135" s="74">
        <v>24815789</v>
      </c>
      <c r="G135" s="74">
        <v>5970947</v>
      </c>
      <c r="H135" s="74">
        <v>0.24061080630000001</v>
      </c>
      <c r="I135">
        <f t="shared" si="5"/>
        <v>7122.0649997077671</v>
      </c>
    </row>
    <row r="136" spans="1:9" ht="15.75" thickBot="1">
      <c r="A136" s="74">
        <v>2568</v>
      </c>
      <c r="B136" s="74">
        <v>31300</v>
      </c>
      <c r="C136" s="74" t="str">
        <f t="shared" si="4"/>
        <v>313</v>
      </c>
      <c r="D136" s="75" t="s">
        <v>271</v>
      </c>
      <c r="E136" s="75">
        <f>INDEX(group_data_final!D:D, MATCH(VALUE(C136), group_data_final!C:C, 0))</f>
        <v>536.76499999999999</v>
      </c>
      <c r="F136" s="74">
        <v>11309379</v>
      </c>
      <c r="G136" s="74">
        <v>5955107</v>
      </c>
      <c r="H136" s="74">
        <v>0.52656357170000001</v>
      </c>
      <c r="I136">
        <f t="shared" si="5"/>
        <v>11094.439838663102</v>
      </c>
    </row>
    <row r="137" spans="1:9" ht="15.75" thickBot="1">
      <c r="A137" s="74">
        <v>2568</v>
      </c>
      <c r="B137" s="74">
        <v>62600</v>
      </c>
      <c r="C137" s="74" t="str">
        <f t="shared" si="4"/>
        <v>626</v>
      </c>
      <c r="D137" s="75" t="s">
        <v>204</v>
      </c>
      <c r="E137" s="75">
        <f>INDEX(group_data_final!D:D, MATCH(VALUE(C137), group_data_final!C:C, 0))</f>
        <v>830.04300000000001</v>
      </c>
      <c r="F137" s="74">
        <v>19873651</v>
      </c>
      <c r="G137" s="74">
        <v>5953856</v>
      </c>
      <c r="H137" s="74">
        <v>0.29958541589999999</v>
      </c>
      <c r="I137">
        <f t="shared" si="5"/>
        <v>7172.9488713235341</v>
      </c>
    </row>
    <row r="138" spans="1:9" ht="15.75" thickBot="1">
      <c r="A138" s="74">
        <v>2569</v>
      </c>
      <c r="B138" s="74">
        <v>55800</v>
      </c>
      <c r="C138" s="74" t="str">
        <f t="shared" si="4"/>
        <v>558</v>
      </c>
      <c r="D138" s="75" t="s">
        <v>267</v>
      </c>
      <c r="E138" s="75">
        <f>INDEX(group_data_final!D:D, MATCH(VALUE(C138), group_data_final!C:C, 0))</f>
        <v>556.34</v>
      </c>
      <c r="F138" s="74">
        <v>11456402</v>
      </c>
      <c r="G138" s="74">
        <v>5943819</v>
      </c>
      <c r="H138" s="74">
        <v>0.51882074320000005</v>
      </c>
      <c r="I138">
        <f t="shared" si="5"/>
        <v>10683.788690369198</v>
      </c>
    </row>
    <row r="139" spans="1:9" ht="15.75" thickBot="1">
      <c r="A139" s="74">
        <v>2568</v>
      </c>
      <c r="B139" s="74">
        <v>52100</v>
      </c>
      <c r="C139" s="74" t="str">
        <f t="shared" si="4"/>
        <v>521</v>
      </c>
      <c r="D139" s="75" t="s">
        <v>516</v>
      </c>
      <c r="E139" s="75">
        <f>INDEX(group_data_final!D:D, MATCH(VALUE(C139), group_data_final!C:C, 0))</f>
        <v>760.61199999999997</v>
      </c>
      <c r="F139" s="74">
        <v>13362753</v>
      </c>
      <c r="G139" s="74">
        <v>5936330</v>
      </c>
      <c r="H139" s="74">
        <v>0.44424453549999998</v>
      </c>
      <c r="I139">
        <f t="shared" si="5"/>
        <v>7804.6757085084118</v>
      </c>
    </row>
    <row r="140" spans="1:9" ht="15.75" thickBot="1">
      <c r="A140" s="74">
        <v>2568</v>
      </c>
      <c r="B140" s="74">
        <v>41600</v>
      </c>
      <c r="C140" s="74" t="str">
        <f t="shared" si="4"/>
        <v>416</v>
      </c>
      <c r="D140" s="75" t="s">
        <v>195</v>
      </c>
      <c r="E140" s="75">
        <f>INDEX(group_data_final!D:D, MATCH(VALUE(C140), group_data_final!C:C, 0))</f>
        <v>623.46900000000005</v>
      </c>
      <c r="F140" s="74">
        <v>9115001</v>
      </c>
      <c r="G140" s="74">
        <v>5932087</v>
      </c>
      <c r="H140" s="74">
        <v>0.65080486550000005</v>
      </c>
      <c r="I140">
        <f t="shared" si="5"/>
        <v>9514.646277521415</v>
      </c>
    </row>
    <row r="141" spans="1:9" ht="15.75" thickBot="1">
      <c r="A141" s="74">
        <v>2567</v>
      </c>
      <c r="B141" s="74">
        <v>51700</v>
      </c>
      <c r="C141" s="74" t="str">
        <f t="shared" si="4"/>
        <v>517</v>
      </c>
      <c r="D141" s="75" t="s">
        <v>196</v>
      </c>
      <c r="E141" s="75">
        <f>INDEX(group_data_final!D:D, MATCH(VALUE(C141), group_data_final!C:C, 0))</f>
        <v>884.94</v>
      </c>
      <c r="F141" s="74">
        <v>16223542</v>
      </c>
      <c r="G141" s="74">
        <v>5929303</v>
      </c>
      <c r="H141" s="74">
        <v>0.36547524580000001</v>
      </c>
      <c r="I141">
        <f t="shared" si="5"/>
        <v>6700.2316541234431</v>
      </c>
    </row>
    <row r="142" spans="1:9" ht="15.75" thickBot="1">
      <c r="A142" s="74">
        <v>2568</v>
      </c>
      <c r="B142" s="74">
        <v>63400</v>
      </c>
      <c r="C142" s="74" t="str">
        <f t="shared" si="4"/>
        <v>634</v>
      </c>
      <c r="D142" s="75" t="s">
        <v>222</v>
      </c>
      <c r="E142" s="75">
        <f>INDEX(group_data_final!D:D, MATCH(VALUE(C142), group_data_final!C:C, 0))</f>
        <v>762.27499999999998</v>
      </c>
      <c r="F142" s="74">
        <v>10159626</v>
      </c>
      <c r="G142" s="74">
        <v>5928198</v>
      </c>
      <c r="H142" s="74">
        <v>0.58350553459999999</v>
      </c>
      <c r="I142">
        <f t="shared" si="5"/>
        <v>7776.9807484175662</v>
      </c>
    </row>
    <row r="143" spans="1:9" ht="27" thickBot="1">
      <c r="A143" s="74">
        <v>2568</v>
      </c>
      <c r="B143" s="74">
        <v>32800</v>
      </c>
      <c r="C143" s="74" t="str">
        <f t="shared" si="4"/>
        <v>328</v>
      </c>
      <c r="D143" s="75" t="s">
        <v>518</v>
      </c>
      <c r="E143" s="75">
        <f>INDEX(group_data_final!D:D, MATCH(VALUE(C143), group_data_final!C:C, 0))</f>
        <v>604.32600000000002</v>
      </c>
      <c r="F143" s="74">
        <v>15455125</v>
      </c>
      <c r="G143" s="74">
        <v>5907670</v>
      </c>
      <c r="H143" s="74">
        <v>0.3822466658</v>
      </c>
      <c r="I143">
        <f t="shared" si="5"/>
        <v>9775.6343430532525</v>
      </c>
    </row>
    <row r="144" spans="1:9" ht="15.75" thickBot="1">
      <c r="A144" s="74">
        <v>2568</v>
      </c>
      <c r="B144" s="74">
        <v>42500</v>
      </c>
      <c r="C144" s="74" t="str">
        <f t="shared" si="4"/>
        <v>425</v>
      </c>
      <c r="D144" s="75" t="s">
        <v>248</v>
      </c>
      <c r="E144" s="75">
        <f>INDEX(group_data_final!D:D, MATCH(VALUE(C144), group_data_final!C:C, 0))</f>
        <v>677.55799999999999</v>
      </c>
      <c r="F144" s="74">
        <v>14196821</v>
      </c>
      <c r="G144" s="74">
        <v>5891785</v>
      </c>
      <c r="H144" s="74">
        <v>0.41500734569999997</v>
      </c>
      <c r="I144">
        <f t="shared" si="5"/>
        <v>8695.6172017746085</v>
      </c>
    </row>
    <row r="145" spans="1:9" ht="27" thickBot="1">
      <c r="A145" s="74">
        <v>2569</v>
      </c>
      <c r="B145" s="74">
        <v>62800</v>
      </c>
      <c r="C145" s="74" t="str">
        <f t="shared" si="4"/>
        <v>628</v>
      </c>
      <c r="D145" s="75" t="s">
        <v>281</v>
      </c>
      <c r="E145" s="75">
        <f>INDEX(group_data_final!D:D, MATCH(VALUE(C145), group_data_final!C:C, 0))</f>
        <v>645.69000000000005</v>
      </c>
      <c r="F145" s="74">
        <v>12876426</v>
      </c>
      <c r="G145" s="74">
        <v>5887866</v>
      </c>
      <c r="H145" s="74">
        <v>0.4572593358</v>
      </c>
      <c r="I145">
        <f t="shared" si="5"/>
        <v>9118.7195093620776</v>
      </c>
    </row>
    <row r="146" spans="1:9" ht="15.75" thickBot="1">
      <c r="A146" s="74">
        <v>2569</v>
      </c>
      <c r="B146" s="74">
        <v>51700</v>
      </c>
      <c r="C146" s="74" t="str">
        <f t="shared" si="4"/>
        <v>517</v>
      </c>
      <c r="D146" s="75" t="s">
        <v>196</v>
      </c>
      <c r="E146" s="75">
        <f>INDEX(group_data_final!D:D, MATCH(VALUE(C146), group_data_final!C:C, 0))</f>
        <v>884.94</v>
      </c>
      <c r="F146" s="74">
        <v>17805890</v>
      </c>
      <c r="G146" s="74">
        <v>5848741</v>
      </c>
      <c r="H146" s="74">
        <v>0.32847226400000001</v>
      </c>
      <c r="I146">
        <f t="shared" si="5"/>
        <v>6609.194973670531</v>
      </c>
    </row>
    <row r="147" spans="1:9" ht="27" thickBot="1">
      <c r="A147" s="74">
        <v>2567</v>
      </c>
      <c r="B147" s="74">
        <v>63100</v>
      </c>
      <c r="C147" s="74" t="str">
        <f t="shared" si="4"/>
        <v>631</v>
      </c>
      <c r="D147" s="75" t="s">
        <v>246</v>
      </c>
      <c r="E147" s="75">
        <f>INDEX(group_data_final!D:D, MATCH(VALUE(C147), group_data_final!C:C, 0))</f>
        <v>681.58500000000004</v>
      </c>
      <c r="F147" s="74">
        <v>8545000</v>
      </c>
      <c r="G147" s="74">
        <v>5848308</v>
      </c>
      <c r="H147" s="74">
        <v>0.68441287299999998</v>
      </c>
      <c r="I147">
        <f t="shared" si="5"/>
        <v>8580.4529148968941</v>
      </c>
    </row>
    <row r="148" spans="1:9" ht="27" thickBot="1">
      <c r="A148" s="74">
        <v>2569</v>
      </c>
      <c r="B148" s="74">
        <v>55500</v>
      </c>
      <c r="C148" s="74" t="str">
        <f t="shared" si="4"/>
        <v>555</v>
      </c>
      <c r="D148" s="75" t="s">
        <v>279</v>
      </c>
      <c r="E148" s="75">
        <f>INDEX(group_data_final!D:D, MATCH(VALUE(C148), group_data_final!C:C, 0))</f>
        <v>575.20000000000005</v>
      </c>
      <c r="F148" s="74">
        <v>16405371</v>
      </c>
      <c r="G148" s="74">
        <v>5839100</v>
      </c>
      <c r="H148" s="74">
        <v>0.35592611709999999</v>
      </c>
      <c r="I148">
        <f t="shared" si="5"/>
        <v>10151.425591098747</v>
      </c>
    </row>
    <row r="149" spans="1:9" ht="27" thickBot="1">
      <c r="A149" s="74">
        <v>2569</v>
      </c>
      <c r="B149" s="74">
        <v>44500</v>
      </c>
      <c r="C149" s="74" t="str">
        <f t="shared" si="4"/>
        <v>445</v>
      </c>
      <c r="D149" s="75" t="s">
        <v>290</v>
      </c>
      <c r="E149" s="75">
        <f>INDEX(group_data_final!D:D, MATCH(VALUE(C149), group_data_final!C:C, 0))</f>
        <v>1050.7570000000001</v>
      </c>
      <c r="F149" s="74">
        <v>18866140</v>
      </c>
      <c r="G149" s="74">
        <v>5837399</v>
      </c>
      <c r="H149" s="74">
        <v>0.30941141109999998</v>
      </c>
      <c r="I149">
        <f t="shared" si="5"/>
        <v>5555.4224240238227</v>
      </c>
    </row>
    <row r="150" spans="1:9" ht="15.75" thickBot="1">
      <c r="A150" s="74">
        <v>2567</v>
      </c>
      <c r="B150" s="74">
        <v>55400</v>
      </c>
      <c r="C150" s="74" t="str">
        <f t="shared" si="4"/>
        <v>554</v>
      </c>
      <c r="D150" s="75" t="s">
        <v>216</v>
      </c>
      <c r="E150" s="75">
        <f>INDEX(group_data_final!D:D, MATCH(VALUE(C150), group_data_final!C:C, 0))</f>
        <v>813.49900000000002</v>
      </c>
      <c r="F150" s="74">
        <v>13070263</v>
      </c>
      <c r="G150" s="74">
        <v>5809553</v>
      </c>
      <c r="H150" s="74">
        <v>0.44448631220000001</v>
      </c>
      <c r="I150">
        <f t="shared" si="5"/>
        <v>7141.4384037349764</v>
      </c>
    </row>
    <row r="151" spans="1:9" ht="15.75" thickBot="1">
      <c r="A151" s="74">
        <v>2567</v>
      </c>
      <c r="B151" s="74">
        <v>41500</v>
      </c>
      <c r="C151" s="74" t="str">
        <f t="shared" si="4"/>
        <v>415</v>
      </c>
      <c r="D151" s="75" t="s">
        <v>210</v>
      </c>
      <c r="E151" s="75">
        <f>INDEX(group_data_final!D:D, MATCH(VALUE(C151), group_data_final!C:C, 0))</f>
        <v>574.74300000000005</v>
      </c>
      <c r="F151" s="74">
        <v>3802004</v>
      </c>
      <c r="G151" s="74">
        <v>5806832</v>
      </c>
      <c r="H151" s="74">
        <v>1.52730823</v>
      </c>
      <c r="I151">
        <f t="shared" si="5"/>
        <v>10103.354020840618</v>
      </c>
    </row>
    <row r="152" spans="1:9" ht="15.75" thickBot="1">
      <c r="A152" s="74">
        <v>2569</v>
      </c>
      <c r="B152" s="74">
        <v>53100</v>
      </c>
      <c r="C152" s="74" t="str">
        <f t="shared" si="4"/>
        <v>531</v>
      </c>
      <c r="D152" s="75" t="s">
        <v>199</v>
      </c>
      <c r="E152" s="75">
        <f>INDEX(group_data_final!D:D, MATCH(VALUE(C152), group_data_final!C:C, 0))</f>
        <v>868.16399999999999</v>
      </c>
      <c r="F152" s="74">
        <v>14366762</v>
      </c>
      <c r="G152" s="74">
        <v>5796457</v>
      </c>
      <c r="H152" s="74">
        <v>0.4034630072</v>
      </c>
      <c r="I152">
        <f t="shared" si="5"/>
        <v>6676.6843591763773</v>
      </c>
    </row>
    <row r="153" spans="1:9" ht="15.75" thickBot="1">
      <c r="A153" s="74">
        <v>2567</v>
      </c>
      <c r="B153" s="74">
        <v>42800</v>
      </c>
      <c r="C153" s="74" t="str">
        <f t="shared" si="4"/>
        <v>428</v>
      </c>
      <c r="D153" s="75" t="s">
        <v>178</v>
      </c>
      <c r="E153" s="75">
        <f>INDEX(group_data_final!D:D, MATCH(VALUE(C153), group_data_final!C:C, 0))</f>
        <v>934.25900000000001</v>
      </c>
      <c r="F153" s="74">
        <v>13342700</v>
      </c>
      <c r="G153" s="74">
        <v>5787693</v>
      </c>
      <c r="H153" s="74">
        <v>0.43377225000000003</v>
      </c>
      <c r="I153">
        <f t="shared" si="5"/>
        <v>6194.9555744178006</v>
      </c>
    </row>
    <row r="154" spans="1:9" ht="27" thickBot="1">
      <c r="A154" s="74">
        <v>2567</v>
      </c>
      <c r="B154" s="74">
        <v>55100</v>
      </c>
      <c r="C154" s="74" t="str">
        <f t="shared" si="4"/>
        <v>551</v>
      </c>
      <c r="D154" s="75" t="s">
        <v>184</v>
      </c>
      <c r="E154" s="75">
        <f>INDEX(group_data_final!D:D, MATCH(VALUE(C154), group_data_final!C:C, 0))</f>
        <v>991.51599999999996</v>
      </c>
      <c r="F154" s="74">
        <v>15347988</v>
      </c>
      <c r="G154" s="74">
        <v>5769255</v>
      </c>
      <c r="H154" s="74">
        <v>0.37589650190000001</v>
      </c>
      <c r="I154">
        <f t="shared" si="5"/>
        <v>5818.6201735524191</v>
      </c>
    </row>
    <row r="155" spans="1:9" ht="15.75" thickBot="1">
      <c r="A155" s="74">
        <v>2567</v>
      </c>
      <c r="B155" s="74">
        <v>41400</v>
      </c>
      <c r="C155" s="74" t="str">
        <f t="shared" si="4"/>
        <v>414</v>
      </c>
      <c r="D155" s="75" t="s">
        <v>261</v>
      </c>
      <c r="E155" s="75">
        <f>INDEX(group_data_final!D:D, MATCH(VALUE(C155), group_data_final!C:C, 0))</f>
        <v>554.83000000000004</v>
      </c>
      <c r="F155" s="74">
        <v>9192126</v>
      </c>
      <c r="G155" s="74">
        <v>5726546</v>
      </c>
      <c r="H155" s="74">
        <v>0.62298384510000004</v>
      </c>
      <c r="I155">
        <f t="shared" si="5"/>
        <v>10321.262368653461</v>
      </c>
    </row>
    <row r="156" spans="1:9" ht="15.75" thickBot="1">
      <c r="A156" s="74">
        <v>2567</v>
      </c>
      <c r="B156" s="74">
        <v>41600</v>
      </c>
      <c r="C156" s="74" t="str">
        <f t="shared" si="4"/>
        <v>416</v>
      </c>
      <c r="D156" s="75" t="s">
        <v>195</v>
      </c>
      <c r="E156" s="75">
        <f>INDEX(group_data_final!D:D, MATCH(VALUE(C156), group_data_final!C:C, 0))</f>
        <v>623.46900000000005</v>
      </c>
      <c r="F156" s="74">
        <v>8732400</v>
      </c>
      <c r="G156" s="74">
        <v>5688971</v>
      </c>
      <c r="H156" s="74">
        <v>0.65147851680000002</v>
      </c>
      <c r="I156">
        <f t="shared" si="5"/>
        <v>9124.7054785402306</v>
      </c>
    </row>
    <row r="157" spans="1:9" ht="15.75" thickBot="1">
      <c r="A157" s="74">
        <v>2568</v>
      </c>
      <c r="B157" s="74">
        <v>44700</v>
      </c>
      <c r="C157" s="74" t="str">
        <f t="shared" si="4"/>
        <v>447</v>
      </c>
      <c r="D157" s="75" t="s">
        <v>269</v>
      </c>
      <c r="E157" s="75">
        <f>INDEX(group_data_final!D:D, MATCH(VALUE(C157), group_data_final!C:C, 0))</f>
        <v>547.51199999999994</v>
      </c>
      <c r="F157" s="74">
        <v>11016079</v>
      </c>
      <c r="G157" s="74">
        <v>5679954</v>
      </c>
      <c r="H157" s="74">
        <v>0.51560577949999997</v>
      </c>
      <c r="I157">
        <f t="shared" si="5"/>
        <v>10374.117827554466</v>
      </c>
    </row>
    <row r="158" spans="1:9" ht="15.75" thickBot="1">
      <c r="A158" s="74">
        <v>2567</v>
      </c>
      <c r="B158" s="74">
        <v>63900</v>
      </c>
      <c r="C158" s="74" t="str">
        <f t="shared" si="4"/>
        <v>639</v>
      </c>
      <c r="D158" s="75" t="s">
        <v>229</v>
      </c>
      <c r="E158" s="75">
        <f>INDEX(group_data_final!D:D, MATCH(VALUE(C158), group_data_final!C:C, 0))</f>
        <v>744.57500000000005</v>
      </c>
      <c r="F158" s="74">
        <v>10483160</v>
      </c>
      <c r="G158" s="74">
        <v>5650758</v>
      </c>
      <c r="H158" s="74">
        <v>0.53903193309999997</v>
      </c>
      <c r="I158">
        <f t="shared" si="5"/>
        <v>7589.2394990430776</v>
      </c>
    </row>
    <row r="159" spans="1:9" ht="15.75" thickBot="1">
      <c r="A159" s="74">
        <v>2569</v>
      </c>
      <c r="B159" s="74">
        <v>33600</v>
      </c>
      <c r="C159" s="74" t="str">
        <f t="shared" si="4"/>
        <v>336</v>
      </c>
      <c r="D159" s="75" t="s">
        <v>236</v>
      </c>
      <c r="E159" s="75">
        <f>INDEX(group_data_final!D:D, MATCH(VALUE(C159), group_data_final!C:C, 0))</f>
        <v>600.327</v>
      </c>
      <c r="F159" s="74">
        <v>8660800</v>
      </c>
      <c r="G159" s="74">
        <v>5645107</v>
      </c>
      <c r="H159" s="74">
        <v>0.65179971830000005</v>
      </c>
      <c r="I159">
        <f t="shared" si="5"/>
        <v>9403.3868208493041</v>
      </c>
    </row>
    <row r="160" spans="1:9" ht="15.75" thickBot="1">
      <c r="A160" s="74">
        <v>2568</v>
      </c>
      <c r="B160" s="74">
        <v>32700</v>
      </c>
      <c r="C160" s="74" t="str">
        <f t="shared" si="4"/>
        <v>327</v>
      </c>
      <c r="D160" s="75" t="s">
        <v>247</v>
      </c>
      <c r="E160" s="75">
        <f>INDEX(group_data_final!D:D, MATCH(VALUE(C160), group_data_final!C:C, 0))</f>
        <v>631.11</v>
      </c>
      <c r="F160" s="74">
        <v>20970224</v>
      </c>
      <c r="G160" s="74">
        <v>5643858</v>
      </c>
      <c r="H160" s="74">
        <v>0.26913675310000001</v>
      </c>
      <c r="I160">
        <f t="shared" si="5"/>
        <v>8942.7484907543858</v>
      </c>
    </row>
    <row r="161" spans="1:9" ht="15.75" thickBot="1">
      <c r="A161" s="74">
        <v>2568</v>
      </c>
      <c r="B161" s="74">
        <v>51700</v>
      </c>
      <c r="C161" s="74" t="str">
        <f t="shared" si="4"/>
        <v>517</v>
      </c>
      <c r="D161" s="75" t="s">
        <v>196</v>
      </c>
      <c r="E161" s="75">
        <f>INDEX(group_data_final!D:D, MATCH(VALUE(C161), group_data_final!C:C, 0))</f>
        <v>884.94</v>
      </c>
      <c r="F161" s="74">
        <v>30586526</v>
      </c>
      <c r="G161" s="74">
        <v>5615823</v>
      </c>
      <c r="H161" s="74">
        <v>0.1836044734</v>
      </c>
      <c r="I161">
        <f t="shared" si="5"/>
        <v>6345.9929486744859</v>
      </c>
    </row>
    <row r="162" spans="1:9" ht="27" thickBot="1">
      <c r="A162" s="74">
        <v>2567</v>
      </c>
      <c r="B162" s="74">
        <v>32600</v>
      </c>
      <c r="C162" s="74" t="str">
        <f t="shared" si="4"/>
        <v>326</v>
      </c>
      <c r="D162" s="75" t="s">
        <v>283</v>
      </c>
      <c r="E162" s="75">
        <f>INDEX(group_data_final!D:D, MATCH(VALUE(C162), group_data_final!C:C, 0))</f>
        <v>796.76300000000003</v>
      </c>
      <c r="F162" s="74">
        <v>25797270</v>
      </c>
      <c r="G162" s="74">
        <v>5591690</v>
      </c>
      <c r="H162" s="74">
        <v>0.2167551063</v>
      </c>
      <c r="I162">
        <f t="shared" si="5"/>
        <v>7018.0091193993694</v>
      </c>
    </row>
    <row r="163" spans="1:9" ht="15.75" thickBot="1">
      <c r="A163" s="74">
        <v>2568</v>
      </c>
      <c r="B163" s="74">
        <v>63300</v>
      </c>
      <c r="C163" s="74" t="str">
        <f t="shared" si="4"/>
        <v>633</v>
      </c>
      <c r="D163" s="75" t="s">
        <v>232</v>
      </c>
      <c r="E163" s="75">
        <f>INDEX(group_data_final!D:D, MATCH(VALUE(C163), group_data_final!C:C, 0))</f>
        <v>714.72400000000005</v>
      </c>
      <c r="F163" s="74">
        <v>6604000</v>
      </c>
      <c r="G163" s="74">
        <v>5550380</v>
      </c>
      <c r="H163" s="74">
        <v>0.84045729859999996</v>
      </c>
      <c r="I163">
        <f t="shared" si="5"/>
        <v>7765.7669254145649</v>
      </c>
    </row>
    <row r="164" spans="1:9" ht="15.75" thickBot="1">
      <c r="A164" s="74">
        <v>2568</v>
      </c>
      <c r="B164" s="74">
        <v>32200</v>
      </c>
      <c r="C164" s="74" t="str">
        <f t="shared" si="4"/>
        <v>322</v>
      </c>
      <c r="D164" s="75" t="s">
        <v>213</v>
      </c>
      <c r="E164" s="75">
        <f>INDEX(group_data_final!D:D, MATCH(VALUE(C164), group_data_final!C:C, 0))</f>
        <v>781.68499999999995</v>
      </c>
      <c r="F164" s="74">
        <v>10307381</v>
      </c>
      <c r="G164" s="74">
        <v>5546848</v>
      </c>
      <c r="H164" s="74">
        <v>0.53814329750000001</v>
      </c>
      <c r="I164">
        <f t="shared" si="5"/>
        <v>7096.0143791936653</v>
      </c>
    </row>
    <row r="165" spans="1:9" ht="27" thickBot="1">
      <c r="A165" s="74">
        <v>2567</v>
      </c>
      <c r="B165" s="74">
        <v>43500</v>
      </c>
      <c r="C165" s="74" t="str">
        <f t="shared" si="4"/>
        <v>435</v>
      </c>
      <c r="D165" s="75" t="s">
        <v>287</v>
      </c>
      <c r="E165" s="75">
        <f>INDEX(group_data_final!D:D, MATCH(VALUE(C165), group_data_final!C:C, 0))</f>
        <v>749.25199999999995</v>
      </c>
      <c r="F165" s="74">
        <v>12384234</v>
      </c>
      <c r="G165" s="74">
        <v>5544066</v>
      </c>
      <c r="H165" s="74">
        <v>0.44767128919999999</v>
      </c>
      <c r="I165">
        <f t="shared" si="5"/>
        <v>7399.4677358218605</v>
      </c>
    </row>
    <row r="166" spans="1:9" ht="27" thickBot="1">
      <c r="A166" s="74">
        <v>2567</v>
      </c>
      <c r="B166" s="74">
        <v>62100</v>
      </c>
      <c r="C166" s="74" t="str">
        <f t="shared" si="4"/>
        <v>621</v>
      </c>
      <c r="D166" s="75" t="s">
        <v>242</v>
      </c>
      <c r="E166" s="75">
        <f>INDEX(group_data_final!D:D, MATCH(VALUE(C166), group_data_final!C:C, 0))</f>
        <v>640.13199999999995</v>
      </c>
      <c r="F166" s="74">
        <v>9990660</v>
      </c>
      <c r="G166" s="74">
        <v>5534495</v>
      </c>
      <c r="H166" s="74">
        <v>0.55396690510000002</v>
      </c>
      <c r="I166">
        <f t="shared" si="5"/>
        <v>8645.8652277967685</v>
      </c>
    </row>
    <row r="167" spans="1:9" ht="15.75" thickBot="1">
      <c r="A167" s="74">
        <v>2569</v>
      </c>
      <c r="B167" s="74">
        <v>63400</v>
      </c>
      <c r="C167" s="74" t="str">
        <f t="shared" si="4"/>
        <v>634</v>
      </c>
      <c r="D167" s="75" t="s">
        <v>222</v>
      </c>
      <c r="E167" s="75">
        <f>INDEX(group_data_final!D:D, MATCH(VALUE(C167), group_data_final!C:C, 0))</f>
        <v>762.27499999999998</v>
      </c>
      <c r="F167" s="74">
        <v>6794792</v>
      </c>
      <c r="G167" s="74">
        <v>5522135</v>
      </c>
      <c r="H167" s="74">
        <v>0.8127011099</v>
      </c>
      <c r="I167">
        <f t="shared" si="5"/>
        <v>7244.2819192548623</v>
      </c>
    </row>
    <row r="168" spans="1:9" ht="15.75" thickBot="1">
      <c r="A168" s="74">
        <v>2569</v>
      </c>
      <c r="B168" s="74">
        <v>63300</v>
      </c>
      <c r="C168" s="74" t="str">
        <f t="shared" si="4"/>
        <v>633</v>
      </c>
      <c r="D168" s="75" t="s">
        <v>232</v>
      </c>
      <c r="E168" s="75">
        <f>INDEX(group_data_final!D:D, MATCH(VALUE(C168), group_data_final!C:C, 0))</f>
        <v>714.72400000000005</v>
      </c>
      <c r="F168" s="74">
        <v>7872000</v>
      </c>
      <c r="G168" s="74">
        <v>5518470</v>
      </c>
      <c r="H168" s="74">
        <v>0.70102515239999996</v>
      </c>
      <c r="I168">
        <f t="shared" si="5"/>
        <v>7721.1203205712973</v>
      </c>
    </row>
    <row r="169" spans="1:9" ht="15.75" thickBot="1">
      <c r="A169" s="74">
        <v>2567</v>
      </c>
      <c r="B169" s="74">
        <v>62300</v>
      </c>
      <c r="C169" s="74" t="str">
        <f t="shared" si="4"/>
        <v>623</v>
      </c>
      <c r="D169" s="75" t="s">
        <v>235</v>
      </c>
      <c r="E169" s="75">
        <f>INDEX(group_data_final!D:D, MATCH(VALUE(C169), group_data_final!C:C, 0))</f>
        <v>709.95100000000002</v>
      </c>
      <c r="F169" s="74">
        <v>11657376</v>
      </c>
      <c r="G169" s="74">
        <v>5513769</v>
      </c>
      <c r="H169" s="74">
        <v>0.47298542999999998</v>
      </c>
      <c r="I169">
        <f t="shared" si="5"/>
        <v>7766.4078225116946</v>
      </c>
    </row>
    <row r="170" spans="1:9" ht="15.75" thickBot="1">
      <c r="A170" s="74">
        <v>2567</v>
      </c>
      <c r="B170" s="74">
        <v>44700</v>
      </c>
      <c r="C170" s="74" t="str">
        <f t="shared" si="4"/>
        <v>447</v>
      </c>
      <c r="D170" s="75" t="s">
        <v>269</v>
      </c>
      <c r="E170" s="75">
        <f>INDEX(group_data_final!D:D, MATCH(VALUE(C170), group_data_final!C:C, 0))</f>
        <v>547.51199999999994</v>
      </c>
      <c r="F170" s="74">
        <v>12703815</v>
      </c>
      <c r="G170" s="74">
        <v>5505522</v>
      </c>
      <c r="H170" s="74">
        <v>0.43337548599999998</v>
      </c>
      <c r="I170">
        <f t="shared" si="5"/>
        <v>10055.527550081095</v>
      </c>
    </row>
    <row r="171" spans="1:9" ht="15.75" thickBot="1">
      <c r="A171" s="74">
        <v>2568</v>
      </c>
      <c r="B171" s="74">
        <v>31800</v>
      </c>
      <c r="C171" s="74" t="str">
        <f t="shared" si="4"/>
        <v>318</v>
      </c>
      <c r="D171" s="75" t="s">
        <v>268</v>
      </c>
      <c r="E171" s="75">
        <f>INDEX(group_data_final!D:D, MATCH(VALUE(C171), group_data_final!C:C, 0))</f>
        <v>518.55200000000002</v>
      </c>
      <c r="F171" s="74">
        <v>11034876</v>
      </c>
      <c r="G171" s="74">
        <v>5489650</v>
      </c>
      <c r="H171" s="74">
        <v>0.49748180219999999</v>
      </c>
      <c r="I171">
        <f t="shared" si="5"/>
        <v>10586.498557521714</v>
      </c>
    </row>
    <row r="172" spans="1:9" ht="27" thickBot="1">
      <c r="A172" s="74">
        <v>2568</v>
      </c>
      <c r="B172" s="74">
        <v>51500</v>
      </c>
      <c r="C172" s="74" t="str">
        <f t="shared" si="4"/>
        <v>515</v>
      </c>
      <c r="D172" s="75" t="s">
        <v>286</v>
      </c>
      <c r="E172" s="75">
        <f>INDEX(group_data_final!D:D, MATCH(VALUE(C172), group_data_final!C:C, 0))</f>
        <v>826.49099999999999</v>
      </c>
      <c r="F172" s="74">
        <v>13571500</v>
      </c>
      <c r="G172" s="74">
        <v>5485025</v>
      </c>
      <c r="H172" s="74">
        <v>0.40415760969999998</v>
      </c>
      <c r="I172">
        <f t="shared" si="5"/>
        <v>6636.5211478406909</v>
      </c>
    </row>
    <row r="173" spans="1:9" ht="27" thickBot="1">
      <c r="A173" s="74">
        <v>2569</v>
      </c>
      <c r="B173" s="74">
        <v>32800</v>
      </c>
      <c r="C173" s="74" t="str">
        <f t="shared" si="4"/>
        <v>328</v>
      </c>
      <c r="D173" s="75" t="s">
        <v>518</v>
      </c>
      <c r="E173" s="75">
        <f>INDEX(group_data_final!D:D, MATCH(VALUE(C173), group_data_final!C:C, 0))</f>
        <v>604.32600000000002</v>
      </c>
      <c r="F173" s="74">
        <v>16033941</v>
      </c>
      <c r="G173" s="74">
        <v>5479045</v>
      </c>
      <c r="H173" s="74">
        <v>0.34171542729999999</v>
      </c>
      <c r="I173">
        <f t="shared" si="5"/>
        <v>9066.3731164967248</v>
      </c>
    </row>
    <row r="174" spans="1:9" ht="27" thickBot="1">
      <c r="A174" s="74">
        <v>2567</v>
      </c>
      <c r="B174" s="74">
        <v>62800</v>
      </c>
      <c r="C174" s="74" t="str">
        <f t="shared" si="4"/>
        <v>628</v>
      </c>
      <c r="D174" s="75" t="s">
        <v>281</v>
      </c>
      <c r="E174" s="75">
        <f>INDEX(group_data_final!D:D, MATCH(VALUE(C174), group_data_final!C:C, 0))</f>
        <v>645.69000000000005</v>
      </c>
      <c r="F174" s="74">
        <v>11109548</v>
      </c>
      <c r="G174" s="74">
        <v>5478827</v>
      </c>
      <c r="H174" s="74">
        <v>0.49316380830000001</v>
      </c>
      <c r="I174">
        <f t="shared" si="5"/>
        <v>8485.2282054856041</v>
      </c>
    </row>
    <row r="175" spans="1:9" ht="15.75" thickBot="1">
      <c r="A175" s="74">
        <v>2569</v>
      </c>
      <c r="B175" s="74">
        <v>33500</v>
      </c>
      <c r="C175" s="74" t="str">
        <f t="shared" si="4"/>
        <v>335</v>
      </c>
      <c r="D175" s="75" t="s">
        <v>238</v>
      </c>
      <c r="E175" s="75">
        <f>INDEX(group_data_final!D:D, MATCH(VALUE(C175), group_data_final!C:C, 0))</f>
        <v>631.80200000000002</v>
      </c>
      <c r="F175" s="74">
        <v>12879024</v>
      </c>
      <c r="G175" s="74">
        <v>5436602</v>
      </c>
      <c r="H175" s="74">
        <v>0.4221284159</v>
      </c>
      <c r="I175">
        <f t="shared" si="5"/>
        <v>8604.9141978024763</v>
      </c>
    </row>
    <row r="176" spans="1:9" ht="15.75" thickBot="1">
      <c r="A176" s="74">
        <v>2568</v>
      </c>
      <c r="B176" s="74">
        <v>33500</v>
      </c>
      <c r="C176" s="74" t="str">
        <f t="shared" si="4"/>
        <v>335</v>
      </c>
      <c r="D176" s="75" t="s">
        <v>238</v>
      </c>
      <c r="E176" s="75">
        <f>INDEX(group_data_final!D:D, MATCH(VALUE(C176), group_data_final!C:C, 0))</f>
        <v>631.80200000000002</v>
      </c>
      <c r="F176" s="74">
        <v>12681264</v>
      </c>
      <c r="G176" s="74">
        <v>5417055</v>
      </c>
      <c r="H176" s="74">
        <v>0.42716995720000001</v>
      </c>
      <c r="I176">
        <f t="shared" si="5"/>
        <v>8573.9757075792731</v>
      </c>
    </row>
    <row r="177" spans="1:9" ht="15.75" thickBot="1">
      <c r="A177" s="74">
        <v>2569</v>
      </c>
      <c r="B177" s="74">
        <v>64700</v>
      </c>
      <c r="C177" s="74" t="str">
        <f t="shared" si="4"/>
        <v>647</v>
      </c>
      <c r="D177" s="75" t="s">
        <v>189</v>
      </c>
      <c r="E177" s="75">
        <f>INDEX(group_data_final!D:D, MATCH(VALUE(C177), group_data_final!C:C, 0))</f>
        <v>945.15800000000002</v>
      </c>
      <c r="F177" s="74">
        <v>9452600</v>
      </c>
      <c r="G177" s="74">
        <v>5328959</v>
      </c>
      <c r="H177" s="74">
        <v>0.56375589780000002</v>
      </c>
      <c r="I177">
        <f t="shared" si="5"/>
        <v>5638.1673751901799</v>
      </c>
    </row>
    <row r="178" spans="1:9" ht="27" thickBot="1">
      <c r="A178" s="74">
        <v>2569</v>
      </c>
      <c r="B178" s="74">
        <v>62400</v>
      </c>
      <c r="C178" s="74" t="str">
        <f t="shared" si="4"/>
        <v>624</v>
      </c>
      <c r="D178" s="75" t="s">
        <v>294</v>
      </c>
      <c r="E178" s="75">
        <f>INDEX(group_data_final!D:D, MATCH(VALUE(C178), group_data_final!C:C, 0))</f>
        <v>679.35299999999995</v>
      </c>
      <c r="F178" s="74">
        <v>6608650</v>
      </c>
      <c r="G178" s="74">
        <v>5321233</v>
      </c>
      <c r="H178" s="74">
        <v>0.80519213460000005</v>
      </c>
      <c r="I178">
        <f t="shared" si="5"/>
        <v>7832.7953214308327</v>
      </c>
    </row>
    <row r="179" spans="1:9" ht="27" thickBot="1">
      <c r="A179" s="74">
        <v>2569</v>
      </c>
      <c r="B179" s="74">
        <v>55200</v>
      </c>
      <c r="C179" s="74" t="str">
        <f t="shared" si="4"/>
        <v>552</v>
      </c>
      <c r="D179" s="75" t="s">
        <v>278</v>
      </c>
      <c r="E179" s="75">
        <f>INDEX(group_data_final!D:D, MATCH(VALUE(C179), group_data_final!C:C, 0))</f>
        <v>780.41499999999996</v>
      </c>
      <c r="F179" s="74">
        <v>11927000</v>
      </c>
      <c r="G179" s="74">
        <v>5281814</v>
      </c>
      <c r="H179" s="74">
        <v>0.44284514130000002</v>
      </c>
      <c r="I179">
        <f t="shared" si="5"/>
        <v>6767.9555108499972</v>
      </c>
    </row>
    <row r="180" spans="1:9" ht="27" thickBot="1">
      <c r="A180" s="74">
        <v>2569</v>
      </c>
      <c r="B180" s="74">
        <v>33700</v>
      </c>
      <c r="C180" s="74" t="str">
        <f t="shared" si="4"/>
        <v>337</v>
      </c>
      <c r="D180" s="75" t="s">
        <v>263</v>
      </c>
      <c r="E180" s="75">
        <f>INDEX(group_data_final!D:D, MATCH(VALUE(C180), group_data_final!C:C, 0))</f>
        <v>527.11</v>
      </c>
      <c r="F180" s="74">
        <v>9013752</v>
      </c>
      <c r="G180" s="74">
        <v>5272798</v>
      </c>
      <c r="H180" s="74">
        <v>0.58497260630000003</v>
      </c>
      <c r="I180">
        <f t="shared" si="5"/>
        <v>10003.22133899945</v>
      </c>
    </row>
    <row r="181" spans="1:9" ht="15.75" thickBot="1">
      <c r="A181" s="74">
        <v>2568</v>
      </c>
      <c r="B181" s="74">
        <v>64100</v>
      </c>
      <c r="C181" s="74" t="str">
        <f t="shared" si="4"/>
        <v>641</v>
      </c>
      <c r="D181" s="75" t="s">
        <v>224</v>
      </c>
      <c r="E181" s="75">
        <f>INDEX(group_data_final!D:D, MATCH(VALUE(C181), group_data_final!C:C, 0))</f>
        <v>753.79899999999998</v>
      </c>
      <c r="F181" s="74">
        <v>11451670</v>
      </c>
      <c r="G181" s="74">
        <v>5251595</v>
      </c>
      <c r="H181" s="74">
        <v>0.45858769939999999</v>
      </c>
      <c r="I181">
        <f t="shared" si="5"/>
        <v>6966.8373133952155</v>
      </c>
    </row>
    <row r="182" spans="1:9" ht="27" thickBot="1">
      <c r="A182" s="74">
        <v>2567</v>
      </c>
      <c r="B182" s="74">
        <v>51400</v>
      </c>
      <c r="C182" s="74" t="str">
        <f t="shared" si="4"/>
        <v>514</v>
      </c>
      <c r="D182" s="75" t="s">
        <v>282</v>
      </c>
      <c r="E182" s="75">
        <f>INDEX(group_data_final!D:D, MATCH(VALUE(C182), group_data_final!C:C, 0))</f>
        <v>838.37300000000005</v>
      </c>
      <c r="F182" s="74">
        <v>12105000</v>
      </c>
      <c r="G182" s="74">
        <v>5216588</v>
      </c>
      <c r="H182" s="74">
        <v>0.43094489879999998</v>
      </c>
      <c r="I182">
        <f t="shared" si="5"/>
        <v>6222.2757650830836</v>
      </c>
    </row>
    <row r="183" spans="1:9" ht="15.75" thickBot="1">
      <c r="A183" s="74">
        <v>2568</v>
      </c>
      <c r="B183" s="74">
        <v>63900</v>
      </c>
      <c r="C183" s="74" t="str">
        <f t="shared" si="4"/>
        <v>639</v>
      </c>
      <c r="D183" s="75" t="s">
        <v>229</v>
      </c>
      <c r="E183" s="75">
        <f>INDEX(group_data_final!D:D, MATCH(VALUE(C183), group_data_final!C:C, 0))</f>
        <v>744.57500000000005</v>
      </c>
      <c r="F183" s="74">
        <v>9599900</v>
      </c>
      <c r="G183" s="74">
        <v>5193879</v>
      </c>
      <c r="H183" s="74">
        <v>0.54103469829999995</v>
      </c>
      <c r="I183">
        <f t="shared" si="5"/>
        <v>6975.6290501292679</v>
      </c>
    </row>
    <row r="184" spans="1:9" ht="15.75" thickBot="1">
      <c r="A184" s="74">
        <v>2569</v>
      </c>
      <c r="B184" s="74">
        <v>43300</v>
      </c>
      <c r="C184" s="74" t="str">
        <f t="shared" si="4"/>
        <v>433</v>
      </c>
      <c r="D184" s="75" t="s">
        <v>259</v>
      </c>
      <c r="E184" s="75">
        <f>INDEX(group_data_final!D:D, MATCH(VALUE(C184), group_data_final!C:C, 0))</f>
        <v>585.39499999999998</v>
      </c>
      <c r="F184" s="74">
        <v>13201079</v>
      </c>
      <c r="G184" s="74">
        <v>5173547</v>
      </c>
      <c r="H184" s="74">
        <v>0.39190334370000002</v>
      </c>
      <c r="I184">
        <f t="shared" si="5"/>
        <v>8837.7027477173542</v>
      </c>
    </row>
    <row r="185" spans="1:9" ht="15.75" thickBot="1">
      <c r="A185" s="74">
        <v>2567</v>
      </c>
      <c r="B185" s="74">
        <v>52800</v>
      </c>
      <c r="C185" s="74" t="str">
        <f t="shared" si="4"/>
        <v>528</v>
      </c>
      <c r="D185" s="75" t="s">
        <v>234</v>
      </c>
      <c r="E185" s="75">
        <f>INDEX(group_data_final!D:D, MATCH(VALUE(C185), group_data_final!C:C, 0))</f>
        <v>668.21699999999998</v>
      </c>
      <c r="F185" s="74">
        <v>13307600</v>
      </c>
      <c r="G185" s="74">
        <v>5164598</v>
      </c>
      <c r="H185" s="74">
        <v>0.3880938712</v>
      </c>
      <c r="I185">
        <f t="shared" si="5"/>
        <v>7728.9233886596721</v>
      </c>
    </row>
    <row r="186" spans="1:9" ht="15.75" thickBot="1">
      <c r="A186" s="74">
        <v>2569</v>
      </c>
      <c r="B186" s="74">
        <v>41400</v>
      </c>
      <c r="C186" s="74" t="str">
        <f t="shared" si="4"/>
        <v>414</v>
      </c>
      <c r="D186" s="75" t="s">
        <v>261</v>
      </c>
      <c r="E186" s="75">
        <f>INDEX(group_data_final!D:D, MATCH(VALUE(C186), group_data_final!C:C, 0))</f>
        <v>554.83000000000004</v>
      </c>
      <c r="F186" s="74">
        <v>8943882</v>
      </c>
      <c r="G186" s="74">
        <v>5154904</v>
      </c>
      <c r="H186" s="74">
        <v>0.57636091349999996</v>
      </c>
      <c r="I186">
        <f t="shared" si="5"/>
        <v>9290.9611953210879</v>
      </c>
    </row>
    <row r="187" spans="1:9" ht="15.75" thickBot="1">
      <c r="A187" s="74">
        <v>2569</v>
      </c>
      <c r="B187" s="74">
        <v>64100</v>
      </c>
      <c r="C187" s="74" t="str">
        <f t="shared" si="4"/>
        <v>641</v>
      </c>
      <c r="D187" s="75" t="s">
        <v>224</v>
      </c>
      <c r="E187" s="75">
        <f>INDEX(group_data_final!D:D, MATCH(VALUE(C187), group_data_final!C:C, 0))</f>
        <v>753.79899999999998</v>
      </c>
      <c r="F187" s="74">
        <v>18672649</v>
      </c>
      <c r="G187" s="74">
        <v>5144372</v>
      </c>
      <c r="H187" s="74">
        <v>0.27550306330000002</v>
      </c>
      <c r="I187">
        <f t="shared" si="5"/>
        <v>6824.5938240830783</v>
      </c>
    </row>
    <row r="188" spans="1:9" ht="15.75" thickBot="1">
      <c r="A188" s="74">
        <v>2567</v>
      </c>
      <c r="B188" s="74">
        <v>31800</v>
      </c>
      <c r="C188" s="74" t="str">
        <f t="shared" si="4"/>
        <v>318</v>
      </c>
      <c r="D188" s="75" t="s">
        <v>268</v>
      </c>
      <c r="E188" s="75">
        <f>INDEX(group_data_final!D:D, MATCH(VALUE(C188), group_data_final!C:C, 0))</f>
        <v>518.55200000000002</v>
      </c>
      <c r="F188" s="74">
        <v>9893702</v>
      </c>
      <c r="G188" s="74">
        <v>5142920</v>
      </c>
      <c r="H188" s="74">
        <v>0.51981755669999996</v>
      </c>
      <c r="I188">
        <f t="shared" si="5"/>
        <v>9917.8481618044079</v>
      </c>
    </row>
    <row r="189" spans="1:9" ht="27" thickBot="1">
      <c r="A189" s="74">
        <v>2567</v>
      </c>
      <c r="B189" s="74">
        <v>32800</v>
      </c>
      <c r="C189" s="74" t="str">
        <f t="shared" si="4"/>
        <v>328</v>
      </c>
      <c r="D189" s="75" t="s">
        <v>518</v>
      </c>
      <c r="E189" s="75">
        <f>INDEX(group_data_final!D:D, MATCH(VALUE(C189), group_data_final!C:C, 0))</f>
        <v>604.32600000000002</v>
      </c>
      <c r="F189" s="74">
        <v>14728635</v>
      </c>
      <c r="G189" s="74">
        <v>5114742</v>
      </c>
      <c r="H189" s="74">
        <v>0.34726517429999998</v>
      </c>
      <c r="I189">
        <f t="shared" si="5"/>
        <v>8463.5478202162412</v>
      </c>
    </row>
    <row r="190" spans="1:9" ht="15.75" thickBot="1">
      <c r="A190" s="74">
        <v>2567</v>
      </c>
      <c r="B190" s="74">
        <v>33500</v>
      </c>
      <c r="C190" s="74" t="str">
        <f t="shared" si="4"/>
        <v>335</v>
      </c>
      <c r="D190" s="75" t="s">
        <v>238</v>
      </c>
      <c r="E190" s="75">
        <f>INDEX(group_data_final!D:D, MATCH(VALUE(C190), group_data_final!C:C, 0))</f>
        <v>631.80200000000002</v>
      </c>
      <c r="F190" s="74">
        <v>15126950</v>
      </c>
      <c r="G190" s="74">
        <v>5112300</v>
      </c>
      <c r="H190" s="74">
        <v>0.33795973410000002</v>
      </c>
      <c r="I190">
        <f t="shared" si="5"/>
        <v>8091.6173104865129</v>
      </c>
    </row>
    <row r="191" spans="1:9" ht="15.75" thickBot="1">
      <c r="A191" s="74">
        <v>2567</v>
      </c>
      <c r="B191" s="74">
        <v>64700</v>
      </c>
      <c r="C191" s="74" t="str">
        <f t="shared" si="4"/>
        <v>647</v>
      </c>
      <c r="D191" s="75" t="s">
        <v>189</v>
      </c>
      <c r="E191" s="75">
        <f>INDEX(group_data_final!D:D, MATCH(VALUE(C191), group_data_final!C:C, 0))</f>
        <v>945.15800000000002</v>
      </c>
      <c r="F191" s="74">
        <v>7910324</v>
      </c>
      <c r="G191" s="74">
        <v>5080471</v>
      </c>
      <c r="H191" s="74">
        <v>0.64225826909999995</v>
      </c>
      <c r="I191">
        <f t="shared" si="5"/>
        <v>5375.2610674617363</v>
      </c>
    </row>
    <row r="192" spans="1:9" ht="15.75" thickBot="1">
      <c r="A192" s="74">
        <v>2568</v>
      </c>
      <c r="B192" s="74">
        <v>32300</v>
      </c>
      <c r="C192" s="74" t="str">
        <f t="shared" si="4"/>
        <v>323</v>
      </c>
      <c r="D192" s="75" t="s">
        <v>231</v>
      </c>
      <c r="E192" s="75">
        <f>INDEX(group_data_final!D:D, MATCH(VALUE(C192), group_data_final!C:C, 0))</f>
        <v>752.71199999999999</v>
      </c>
      <c r="F192" s="74">
        <v>14976000</v>
      </c>
      <c r="G192" s="74">
        <v>5077028</v>
      </c>
      <c r="H192" s="74">
        <v>0.3390109509</v>
      </c>
      <c r="I192">
        <f t="shared" si="5"/>
        <v>6744.9808160358807</v>
      </c>
    </row>
    <row r="193" spans="1:9" ht="15.75" thickBot="1">
      <c r="A193" s="74">
        <v>2569</v>
      </c>
      <c r="B193" s="74">
        <v>53500</v>
      </c>
      <c r="C193" s="74" t="str">
        <f t="shared" si="4"/>
        <v>535</v>
      </c>
      <c r="D193" s="75" t="s">
        <v>223</v>
      </c>
      <c r="E193" s="75">
        <f>INDEX(group_data_final!D:D, MATCH(VALUE(C193), group_data_final!C:C, 0))</f>
        <v>731.81200000000001</v>
      </c>
      <c r="F193" s="74">
        <v>21385399</v>
      </c>
      <c r="G193" s="74">
        <v>5060007</v>
      </c>
      <c r="H193" s="74">
        <v>0.2366103621</v>
      </c>
      <c r="I193">
        <f t="shared" si="5"/>
        <v>6914.3536864659227</v>
      </c>
    </row>
    <row r="194" spans="1:9" ht="27" thickBot="1">
      <c r="A194" s="74">
        <v>2567</v>
      </c>
      <c r="B194" s="74">
        <v>61900</v>
      </c>
      <c r="C194" s="74" t="str">
        <f t="shared" si="4"/>
        <v>619</v>
      </c>
      <c r="D194" s="75" t="s">
        <v>289</v>
      </c>
      <c r="E194" s="75">
        <f>INDEX(group_data_final!D:D, MATCH(VALUE(C194), group_data_final!C:C, 0))</f>
        <v>1041.9480000000001</v>
      </c>
      <c r="F194" s="74">
        <v>10196100</v>
      </c>
      <c r="G194" s="74">
        <v>5037102</v>
      </c>
      <c r="H194" s="74">
        <v>0.49402242029999999</v>
      </c>
      <c r="I194">
        <f t="shared" si="5"/>
        <v>4834.3122689424035</v>
      </c>
    </row>
    <row r="195" spans="1:9" ht="15.75" thickBot="1">
      <c r="A195" s="74">
        <v>2568</v>
      </c>
      <c r="B195" s="74">
        <v>44800</v>
      </c>
      <c r="C195" s="74" t="str">
        <f t="shared" ref="C195:C258" si="6">LEFT(B195,3)</f>
        <v>448</v>
      </c>
      <c r="D195" s="75" t="s">
        <v>252</v>
      </c>
      <c r="E195" s="75">
        <f>INDEX(group_data_final!D:D, MATCH(VALUE(C195), group_data_final!C:C, 0))</f>
        <v>603.35799999999995</v>
      </c>
      <c r="F195" s="74">
        <v>11735781</v>
      </c>
      <c r="G195" s="74">
        <v>5033994</v>
      </c>
      <c r="H195" s="74">
        <v>0.42894409839999997</v>
      </c>
      <c r="I195">
        <f t="shared" ref="I195:I258" si="7">G195/E195</f>
        <v>8343.2953569854053</v>
      </c>
    </row>
    <row r="196" spans="1:9" ht="27" thickBot="1">
      <c r="A196" s="74">
        <v>2569</v>
      </c>
      <c r="B196" s="74">
        <v>51400</v>
      </c>
      <c r="C196" s="74" t="str">
        <f t="shared" si="6"/>
        <v>514</v>
      </c>
      <c r="D196" s="75" t="s">
        <v>282</v>
      </c>
      <c r="E196" s="75">
        <f>INDEX(group_data_final!D:D, MATCH(VALUE(C196), group_data_final!C:C, 0))</f>
        <v>838.37300000000005</v>
      </c>
      <c r="F196" s="74">
        <v>23058856</v>
      </c>
      <c r="G196" s="74">
        <v>5029663</v>
      </c>
      <c r="H196" s="74">
        <v>0.2181228332</v>
      </c>
      <c r="I196">
        <f t="shared" si="7"/>
        <v>5999.3141477600066</v>
      </c>
    </row>
    <row r="197" spans="1:9" ht="15.75" thickBot="1">
      <c r="A197" s="74">
        <v>2567</v>
      </c>
      <c r="B197" s="74">
        <v>32700</v>
      </c>
      <c r="C197" s="74" t="str">
        <f t="shared" si="6"/>
        <v>327</v>
      </c>
      <c r="D197" s="75" t="s">
        <v>247</v>
      </c>
      <c r="E197" s="75">
        <f>INDEX(group_data_final!D:D, MATCH(VALUE(C197), group_data_final!C:C, 0))</f>
        <v>631.11</v>
      </c>
      <c r="F197" s="74">
        <v>13207500</v>
      </c>
      <c r="G197" s="74">
        <v>5007371</v>
      </c>
      <c r="H197" s="74">
        <v>0.3791308726</v>
      </c>
      <c r="I197">
        <f t="shared" si="7"/>
        <v>7934.2285813883473</v>
      </c>
    </row>
    <row r="198" spans="1:9" ht="15.75" thickBot="1">
      <c r="A198" s="74">
        <v>2567</v>
      </c>
      <c r="B198" s="74">
        <v>32200</v>
      </c>
      <c r="C198" s="74" t="str">
        <f t="shared" si="6"/>
        <v>322</v>
      </c>
      <c r="D198" s="75" t="s">
        <v>213</v>
      </c>
      <c r="E198" s="75">
        <f>INDEX(group_data_final!D:D, MATCH(VALUE(C198), group_data_final!C:C, 0))</f>
        <v>781.68499999999995</v>
      </c>
      <c r="F198" s="74">
        <v>11000808</v>
      </c>
      <c r="G198" s="74">
        <v>4972037</v>
      </c>
      <c r="H198" s="74">
        <v>0.45197016439999999</v>
      </c>
      <c r="I198">
        <f t="shared" si="7"/>
        <v>6360.6657413152361</v>
      </c>
    </row>
    <row r="199" spans="1:9" ht="15.75" thickBot="1">
      <c r="A199" s="74">
        <v>2567</v>
      </c>
      <c r="B199" s="74">
        <v>32300</v>
      </c>
      <c r="C199" s="74" t="str">
        <f t="shared" si="6"/>
        <v>323</v>
      </c>
      <c r="D199" s="75" t="s">
        <v>231</v>
      </c>
      <c r="E199" s="75">
        <f>INDEX(group_data_final!D:D, MATCH(VALUE(C199), group_data_final!C:C, 0))</f>
        <v>752.71199999999999</v>
      </c>
      <c r="F199" s="74">
        <v>14647900</v>
      </c>
      <c r="G199" s="74">
        <v>4956627</v>
      </c>
      <c r="H199" s="74">
        <v>0.33838481970000001</v>
      </c>
      <c r="I199">
        <f t="shared" si="7"/>
        <v>6585.0245512227784</v>
      </c>
    </row>
    <row r="200" spans="1:9" ht="15.75" thickBot="1">
      <c r="A200" s="74">
        <v>2569</v>
      </c>
      <c r="B200" s="74">
        <v>32700</v>
      </c>
      <c r="C200" s="74" t="str">
        <f t="shared" si="6"/>
        <v>327</v>
      </c>
      <c r="D200" s="75" t="s">
        <v>247</v>
      </c>
      <c r="E200" s="75">
        <f>INDEX(group_data_final!D:D, MATCH(VALUE(C200), group_data_final!C:C, 0))</f>
        <v>631.11</v>
      </c>
      <c r="F200" s="74">
        <v>20343972</v>
      </c>
      <c r="G200" s="74">
        <v>4942759</v>
      </c>
      <c r="H200" s="74">
        <v>0.2429593887</v>
      </c>
      <c r="I200">
        <f t="shared" si="7"/>
        <v>7831.8502321306905</v>
      </c>
    </row>
    <row r="201" spans="1:9" ht="15.75" thickBot="1">
      <c r="A201" s="74">
        <v>2568</v>
      </c>
      <c r="B201" s="74">
        <v>42100</v>
      </c>
      <c r="C201" s="74" t="str">
        <f t="shared" si="6"/>
        <v>421</v>
      </c>
      <c r="D201" s="75" t="s">
        <v>174</v>
      </c>
      <c r="E201" s="75">
        <f>INDEX(group_data_final!D:D, MATCH(VALUE(C201), group_data_final!C:C, 0))</f>
        <v>955.31600000000003</v>
      </c>
      <c r="F201" s="74">
        <v>4816403</v>
      </c>
      <c r="G201" s="74">
        <v>4882560</v>
      </c>
      <c r="H201" s="74">
        <v>1.013735769</v>
      </c>
      <c r="I201">
        <f t="shared" si="7"/>
        <v>5110.9371140020685</v>
      </c>
    </row>
    <row r="202" spans="1:9" ht="15.75" thickBot="1">
      <c r="A202" s="74">
        <v>2568</v>
      </c>
      <c r="B202" s="74">
        <v>41400</v>
      </c>
      <c r="C202" s="74" t="str">
        <f t="shared" si="6"/>
        <v>414</v>
      </c>
      <c r="D202" s="75" t="s">
        <v>261</v>
      </c>
      <c r="E202" s="75">
        <f>INDEX(group_data_final!D:D, MATCH(VALUE(C202), group_data_final!C:C, 0))</f>
        <v>554.83000000000004</v>
      </c>
      <c r="F202" s="74">
        <v>11293215</v>
      </c>
      <c r="G202" s="74">
        <v>4847968</v>
      </c>
      <c r="H202" s="74">
        <v>0.42928147560000002</v>
      </c>
      <c r="I202">
        <f t="shared" si="7"/>
        <v>8737.7539066020217</v>
      </c>
    </row>
    <row r="203" spans="1:9" ht="15.75" thickBot="1">
      <c r="A203" s="74">
        <v>2567</v>
      </c>
      <c r="B203" s="74">
        <v>63400</v>
      </c>
      <c r="C203" s="74" t="str">
        <f t="shared" si="6"/>
        <v>634</v>
      </c>
      <c r="D203" s="75" t="s">
        <v>222</v>
      </c>
      <c r="E203" s="75">
        <f>INDEX(group_data_final!D:D, MATCH(VALUE(C203), group_data_final!C:C, 0))</f>
        <v>762.27499999999998</v>
      </c>
      <c r="F203" s="74">
        <v>7240118</v>
      </c>
      <c r="G203" s="74">
        <v>4847787</v>
      </c>
      <c r="H203" s="74">
        <v>0.66957292690000003</v>
      </c>
      <c r="I203">
        <f t="shared" si="7"/>
        <v>6359.6300547702604</v>
      </c>
    </row>
    <row r="204" spans="1:9" ht="15.75" thickBot="1">
      <c r="A204" s="74">
        <v>2567</v>
      </c>
      <c r="B204" s="74">
        <v>31400</v>
      </c>
      <c r="C204" s="74" t="str">
        <f t="shared" si="6"/>
        <v>314</v>
      </c>
      <c r="D204" s="75" t="s">
        <v>260</v>
      </c>
      <c r="E204" s="75">
        <f>INDEX(group_data_final!D:D, MATCH(VALUE(C204), group_data_final!C:C, 0))</f>
        <v>585.505</v>
      </c>
      <c r="F204" s="74">
        <v>8540000</v>
      </c>
      <c r="G204" s="74">
        <v>4843150</v>
      </c>
      <c r="H204" s="74">
        <v>0.56711358310000004</v>
      </c>
      <c r="I204">
        <f t="shared" si="7"/>
        <v>8271.7483198264745</v>
      </c>
    </row>
    <row r="205" spans="1:9" ht="15.75" thickBot="1">
      <c r="A205" s="74">
        <v>2569</v>
      </c>
      <c r="B205" s="74">
        <v>33200</v>
      </c>
      <c r="C205" s="74" t="str">
        <f t="shared" si="6"/>
        <v>332</v>
      </c>
      <c r="D205" s="75" t="s">
        <v>240</v>
      </c>
      <c r="E205" s="75">
        <f>INDEX(group_data_final!D:D, MATCH(VALUE(C205), group_data_final!C:C, 0))</f>
        <v>661.423</v>
      </c>
      <c r="F205" s="74">
        <v>24432057</v>
      </c>
      <c r="G205" s="74">
        <v>4821468</v>
      </c>
      <c r="H205" s="74">
        <v>0.19734187750000001</v>
      </c>
      <c r="I205">
        <f t="shared" si="7"/>
        <v>7289.53786003813</v>
      </c>
    </row>
    <row r="206" spans="1:9" ht="15.75" thickBot="1">
      <c r="A206" s="74">
        <v>2568</v>
      </c>
      <c r="B206" s="74">
        <v>42300</v>
      </c>
      <c r="C206" s="74" t="str">
        <f t="shared" si="6"/>
        <v>423</v>
      </c>
      <c r="D206" s="75" t="s">
        <v>217</v>
      </c>
      <c r="E206" s="75">
        <f>INDEX(group_data_final!D:D, MATCH(VALUE(C206), group_data_final!C:C, 0))</f>
        <v>770.64400000000001</v>
      </c>
      <c r="F206" s="74">
        <v>9811860</v>
      </c>
      <c r="G206" s="74">
        <v>4785898</v>
      </c>
      <c r="H206" s="74">
        <v>0.48776664159999999</v>
      </c>
      <c r="I206">
        <f t="shared" si="7"/>
        <v>6210.2579141601054</v>
      </c>
    </row>
    <row r="207" spans="1:9" ht="27" thickBot="1">
      <c r="A207" s="74">
        <v>2568</v>
      </c>
      <c r="B207" s="74">
        <v>33700</v>
      </c>
      <c r="C207" s="74" t="str">
        <f t="shared" si="6"/>
        <v>337</v>
      </c>
      <c r="D207" s="75" t="s">
        <v>263</v>
      </c>
      <c r="E207" s="75">
        <f>INDEX(group_data_final!D:D, MATCH(VALUE(C207), group_data_final!C:C, 0))</f>
        <v>527.11</v>
      </c>
      <c r="F207" s="74">
        <v>8016323</v>
      </c>
      <c r="G207" s="74">
        <v>4780515</v>
      </c>
      <c r="H207" s="74">
        <v>0.59634760229999995</v>
      </c>
      <c r="I207">
        <f t="shared" si="7"/>
        <v>9069.2929369581307</v>
      </c>
    </row>
    <row r="208" spans="1:9" ht="15.75" thickBot="1">
      <c r="A208" s="74">
        <v>2568</v>
      </c>
      <c r="B208" s="74">
        <v>33800</v>
      </c>
      <c r="C208" s="74" t="str">
        <f t="shared" si="6"/>
        <v>338</v>
      </c>
      <c r="D208" s="75" t="s">
        <v>226</v>
      </c>
      <c r="E208" s="75">
        <f>INDEX(group_data_final!D:D, MATCH(VALUE(C208), group_data_final!C:C, 0))</f>
        <v>711.86900000000003</v>
      </c>
      <c r="F208" s="74">
        <v>11322920</v>
      </c>
      <c r="G208" s="74">
        <v>4754046</v>
      </c>
      <c r="H208" s="74">
        <v>0.41986042470000001</v>
      </c>
      <c r="I208">
        <f t="shared" si="7"/>
        <v>6678.2596236105237</v>
      </c>
    </row>
    <row r="209" spans="1:9" ht="15.75" thickBot="1">
      <c r="A209" s="74">
        <v>2569</v>
      </c>
      <c r="B209" s="74">
        <v>32200</v>
      </c>
      <c r="C209" s="74" t="str">
        <f t="shared" si="6"/>
        <v>322</v>
      </c>
      <c r="D209" s="75" t="s">
        <v>213</v>
      </c>
      <c r="E209" s="75">
        <f>INDEX(group_data_final!D:D, MATCH(VALUE(C209), group_data_final!C:C, 0))</f>
        <v>781.68499999999995</v>
      </c>
      <c r="F209" s="74">
        <v>8124044</v>
      </c>
      <c r="G209" s="74">
        <v>4743397</v>
      </c>
      <c r="H209" s="74">
        <v>0.58387140689999995</v>
      </c>
      <c r="I209">
        <f t="shared" si="7"/>
        <v>6068.1694032762562</v>
      </c>
    </row>
    <row r="210" spans="1:9" ht="15.75" thickBot="1">
      <c r="A210" s="74">
        <v>2569</v>
      </c>
      <c r="B210" s="74">
        <v>41500</v>
      </c>
      <c r="C210" s="74" t="str">
        <f t="shared" si="6"/>
        <v>415</v>
      </c>
      <c r="D210" s="75" t="s">
        <v>210</v>
      </c>
      <c r="E210" s="75">
        <f>INDEX(group_data_final!D:D, MATCH(VALUE(C210), group_data_final!C:C, 0))</f>
        <v>574.74300000000005</v>
      </c>
      <c r="F210" s="74">
        <v>7486743</v>
      </c>
      <c r="G210" s="74">
        <v>4724673</v>
      </c>
      <c r="H210" s="74">
        <v>0.63107188270000003</v>
      </c>
      <c r="I210">
        <f t="shared" si="7"/>
        <v>8220.496813358317</v>
      </c>
    </row>
    <row r="211" spans="1:9" ht="27" thickBot="1">
      <c r="A211" s="74">
        <v>2568</v>
      </c>
      <c r="B211" s="74">
        <v>62700</v>
      </c>
      <c r="C211" s="74" t="str">
        <f t="shared" si="6"/>
        <v>627</v>
      </c>
      <c r="D211" s="75" t="s">
        <v>280</v>
      </c>
      <c r="E211" s="75">
        <f>INDEX(group_data_final!D:D, MATCH(VALUE(C211), group_data_final!C:C, 0))</f>
        <v>687.24599999999998</v>
      </c>
      <c r="F211" s="74">
        <v>11073783</v>
      </c>
      <c r="G211" s="74">
        <v>4707329</v>
      </c>
      <c r="H211" s="74">
        <v>0.42508770489999997</v>
      </c>
      <c r="I211">
        <f t="shared" si="7"/>
        <v>6849.5545990809696</v>
      </c>
    </row>
    <row r="212" spans="1:9" ht="15.75" thickBot="1">
      <c r="A212" s="74">
        <v>2569</v>
      </c>
      <c r="B212" s="74">
        <v>52600</v>
      </c>
      <c r="C212" s="74" t="str">
        <f t="shared" si="6"/>
        <v>526</v>
      </c>
      <c r="D212" s="75" t="s">
        <v>257</v>
      </c>
      <c r="E212" s="75">
        <f>INDEX(group_data_final!D:D, MATCH(VALUE(C212), group_data_final!C:C, 0))</f>
        <v>621.27700000000004</v>
      </c>
      <c r="F212" s="74">
        <v>9416266</v>
      </c>
      <c r="G212" s="74">
        <v>4676940</v>
      </c>
      <c r="H212" s="74">
        <v>0.49668732809999999</v>
      </c>
      <c r="I212">
        <f t="shared" si="7"/>
        <v>7527.9464715416789</v>
      </c>
    </row>
    <row r="213" spans="1:9" ht="27" thickBot="1">
      <c r="A213" s="74">
        <v>2567</v>
      </c>
      <c r="B213" s="74">
        <v>43800</v>
      </c>
      <c r="C213" s="74" t="str">
        <f t="shared" si="6"/>
        <v>438</v>
      </c>
      <c r="D213" s="75" t="s">
        <v>284</v>
      </c>
      <c r="E213" s="75">
        <f>INDEX(group_data_final!D:D, MATCH(VALUE(C213), group_data_final!C:C, 0))</f>
        <v>841.38699999999994</v>
      </c>
      <c r="F213" s="74">
        <v>12136640</v>
      </c>
      <c r="G213" s="74">
        <v>4669782</v>
      </c>
      <c r="H213" s="74">
        <v>0.38476728319999998</v>
      </c>
      <c r="I213">
        <f t="shared" si="7"/>
        <v>5550.1000134302058</v>
      </c>
    </row>
    <row r="214" spans="1:9" ht="15.75" thickBot="1">
      <c r="A214" s="74">
        <v>2568</v>
      </c>
      <c r="B214" s="74">
        <v>52600</v>
      </c>
      <c r="C214" s="74" t="str">
        <f t="shared" si="6"/>
        <v>526</v>
      </c>
      <c r="D214" s="75" t="s">
        <v>257</v>
      </c>
      <c r="E214" s="75">
        <f>INDEX(group_data_final!D:D, MATCH(VALUE(C214), group_data_final!C:C, 0))</f>
        <v>621.27700000000004</v>
      </c>
      <c r="F214" s="74">
        <v>6924700</v>
      </c>
      <c r="G214" s="74">
        <v>4644122</v>
      </c>
      <c r="H214" s="74">
        <v>0.67066038959999996</v>
      </c>
      <c r="I214">
        <f t="shared" si="7"/>
        <v>7475.1230127624231</v>
      </c>
    </row>
    <row r="215" spans="1:9" ht="27" thickBot="1">
      <c r="A215" s="74">
        <v>2568</v>
      </c>
      <c r="B215" s="74">
        <v>55200</v>
      </c>
      <c r="C215" s="74" t="str">
        <f t="shared" si="6"/>
        <v>552</v>
      </c>
      <c r="D215" s="75" t="s">
        <v>278</v>
      </c>
      <c r="E215" s="75">
        <f>INDEX(group_data_final!D:D, MATCH(VALUE(C215), group_data_final!C:C, 0))</f>
        <v>780.41499999999996</v>
      </c>
      <c r="F215" s="74">
        <v>9795000</v>
      </c>
      <c r="G215" s="74">
        <v>4612026</v>
      </c>
      <c r="H215" s="74">
        <v>0.47085513020000003</v>
      </c>
      <c r="I215">
        <f t="shared" si="7"/>
        <v>5909.7095775965354</v>
      </c>
    </row>
    <row r="216" spans="1:9" ht="15.75" thickBot="1">
      <c r="A216" s="74">
        <v>2567</v>
      </c>
      <c r="B216" s="74">
        <v>52400</v>
      </c>
      <c r="C216" s="74" t="str">
        <f t="shared" si="6"/>
        <v>524</v>
      </c>
      <c r="D216" s="75" t="s">
        <v>249</v>
      </c>
      <c r="E216" s="75">
        <f>INDEX(group_data_final!D:D, MATCH(VALUE(C216), group_data_final!C:C, 0))</f>
        <v>650.26800000000003</v>
      </c>
      <c r="F216" s="74">
        <v>10784800</v>
      </c>
      <c r="G216" s="74">
        <v>4575211</v>
      </c>
      <c r="H216" s="74">
        <v>0.42422770939999999</v>
      </c>
      <c r="I216">
        <f t="shared" si="7"/>
        <v>7035.8852042542458</v>
      </c>
    </row>
    <row r="217" spans="1:9" ht="15.75" thickBot="1">
      <c r="A217" s="74">
        <v>2567</v>
      </c>
      <c r="B217" s="74">
        <v>33800</v>
      </c>
      <c r="C217" s="74" t="str">
        <f t="shared" si="6"/>
        <v>338</v>
      </c>
      <c r="D217" s="75" t="s">
        <v>226</v>
      </c>
      <c r="E217" s="75">
        <f>INDEX(group_data_final!D:D, MATCH(VALUE(C217), group_data_final!C:C, 0))</f>
        <v>711.86900000000003</v>
      </c>
      <c r="F217" s="74">
        <v>9685666</v>
      </c>
      <c r="G217" s="74">
        <v>4528091</v>
      </c>
      <c r="H217" s="74">
        <v>0.46750435130000001</v>
      </c>
      <c r="I217">
        <f t="shared" si="7"/>
        <v>6360.8486954762739</v>
      </c>
    </row>
    <row r="218" spans="1:9" ht="15.75" thickBot="1">
      <c r="A218" s="74">
        <v>2568</v>
      </c>
      <c r="B218" s="74">
        <v>52800</v>
      </c>
      <c r="C218" s="74" t="str">
        <f t="shared" si="6"/>
        <v>528</v>
      </c>
      <c r="D218" s="75" t="s">
        <v>234</v>
      </c>
      <c r="E218" s="75">
        <f>INDEX(group_data_final!D:D, MATCH(VALUE(C218), group_data_final!C:C, 0))</f>
        <v>668.21699999999998</v>
      </c>
      <c r="F218" s="74">
        <v>11699600</v>
      </c>
      <c r="G218" s="74">
        <v>4517703</v>
      </c>
      <c r="H218" s="74">
        <v>0.38614166300000002</v>
      </c>
      <c r="I218">
        <f t="shared" si="7"/>
        <v>6760.8321847543539</v>
      </c>
    </row>
    <row r="219" spans="1:9" ht="15.75" thickBot="1">
      <c r="A219" s="74">
        <v>2569</v>
      </c>
      <c r="B219" s="74">
        <v>42300</v>
      </c>
      <c r="C219" s="74" t="str">
        <f t="shared" si="6"/>
        <v>423</v>
      </c>
      <c r="D219" s="75" t="s">
        <v>217</v>
      </c>
      <c r="E219" s="75">
        <f>INDEX(group_data_final!D:D, MATCH(VALUE(C219), group_data_final!C:C, 0))</f>
        <v>770.64400000000001</v>
      </c>
      <c r="F219" s="74">
        <v>10905000</v>
      </c>
      <c r="G219" s="74">
        <v>4506338</v>
      </c>
      <c r="H219" s="74">
        <v>0.41323594679999998</v>
      </c>
      <c r="I219">
        <f t="shared" si="7"/>
        <v>5847.4963796513048</v>
      </c>
    </row>
    <row r="220" spans="1:9" ht="15.75" thickBot="1">
      <c r="A220" s="74">
        <v>2567</v>
      </c>
      <c r="B220" s="74">
        <v>63300</v>
      </c>
      <c r="C220" s="74" t="str">
        <f t="shared" si="6"/>
        <v>633</v>
      </c>
      <c r="D220" s="75" t="s">
        <v>232</v>
      </c>
      <c r="E220" s="75">
        <f>INDEX(group_data_final!D:D, MATCH(VALUE(C220), group_data_final!C:C, 0))</f>
        <v>714.72400000000005</v>
      </c>
      <c r="F220" s="74">
        <v>6589050</v>
      </c>
      <c r="G220" s="74">
        <v>4488773</v>
      </c>
      <c r="H220" s="74">
        <v>0.6812473725</v>
      </c>
      <c r="I220">
        <f t="shared" si="7"/>
        <v>6280.4285290545713</v>
      </c>
    </row>
    <row r="221" spans="1:9" ht="15.75" thickBot="1">
      <c r="A221" s="74">
        <v>2569</v>
      </c>
      <c r="B221" s="74">
        <v>32300</v>
      </c>
      <c r="C221" s="74" t="str">
        <f t="shared" si="6"/>
        <v>323</v>
      </c>
      <c r="D221" s="75" t="s">
        <v>231</v>
      </c>
      <c r="E221" s="75">
        <f>INDEX(group_data_final!D:D, MATCH(VALUE(C221), group_data_final!C:C, 0))</f>
        <v>752.71199999999999</v>
      </c>
      <c r="F221" s="74">
        <v>13213500</v>
      </c>
      <c r="G221" s="74">
        <v>4452425</v>
      </c>
      <c r="H221" s="74">
        <v>0.33696030570000002</v>
      </c>
      <c r="I221">
        <f t="shared" si="7"/>
        <v>5915.1773852416327</v>
      </c>
    </row>
    <row r="222" spans="1:9" ht="15.75" thickBot="1">
      <c r="A222" s="74">
        <v>2569</v>
      </c>
      <c r="B222" s="74">
        <v>33800</v>
      </c>
      <c r="C222" s="74" t="str">
        <f t="shared" si="6"/>
        <v>338</v>
      </c>
      <c r="D222" s="75" t="s">
        <v>226</v>
      </c>
      <c r="E222" s="75">
        <f>INDEX(group_data_final!D:D, MATCH(VALUE(C222), group_data_final!C:C, 0))</f>
        <v>711.86900000000003</v>
      </c>
      <c r="F222" s="74">
        <v>11710553</v>
      </c>
      <c r="G222" s="74">
        <v>4439523</v>
      </c>
      <c r="H222" s="74">
        <v>0.379104471</v>
      </c>
      <c r="I222">
        <f t="shared" si="7"/>
        <v>6236.4325458757157</v>
      </c>
    </row>
    <row r="223" spans="1:9" ht="15.75" thickBot="1">
      <c r="A223" s="74">
        <v>2569</v>
      </c>
      <c r="B223" s="74">
        <v>42500</v>
      </c>
      <c r="C223" s="74" t="str">
        <f t="shared" si="6"/>
        <v>425</v>
      </c>
      <c r="D223" s="75" t="s">
        <v>248</v>
      </c>
      <c r="E223" s="75">
        <f>INDEX(group_data_final!D:D, MATCH(VALUE(C223), group_data_final!C:C, 0))</f>
        <v>677.55799999999999</v>
      </c>
      <c r="F223" s="74">
        <v>9614800</v>
      </c>
      <c r="G223" s="74">
        <v>4438011</v>
      </c>
      <c r="H223" s="74">
        <v>0.46158120809999997</v>
      </c>
      <c r="I223">
        <f t="shared" si="7"/>
        <v>6550.009002919307</v>
      </c>
    </row>
    <row r="224" spans="1:9" ht="15.75" thickBot="1">
      <c r="A224" s="74">
        <v>2568</v>
      </c>
      <c r="B224" s="74">
        <v>51200</v>
      </c>
      <c r="C224" s="74" t="str">
        <f t="shared" si="6"/>
        <v>512</v>
      </c>
      <c r="D224" s="75" t="s">
        <v>209</v>
      </c>
      <c r="E224" s="75">
        <f>INDEX(group_data_final!D:D, MATCH(VALUE(C224), group_data_final!C:C, 0))</f>
        <v>830.79600000000005</v>
      </c>
      <c r="F224" s="74">
        <v>12741448</v>
      </c>
      <c r="G224" s="74">
        <v>4420634</v>
      </c>
      <c r="H224" s="74">
        <v>0.3469491066</v>
      </c>
      <c r="I224">
        <f t="shared" si="7"/>
        <v>5320.962065296414</v>
      </c>
    </row>
    <row r="225" spans="1:9" ht="15.75" thickBot="1">
      <c r="A225" s="74">
        <v>2568</v>
      </c>
      <c r="B225" s="74">
        <v>43300</v>
      </c>
      <c r="C225" s="74" t="str">
        <f t="shared" si="6"/>
        <v>433</v>
      </c>
      <c r="D225" s="75" t="s">
        <v>259</v>
      </c>
      <c r="E225" s="75">
        <f>INDEX(group_data_final!D:D, MATCH(VALUE(C225), group_data_final!C:C, 0))</f>
        <v>585.39499999999998</v>
      </c>
      <c r="F225" s="74">
        <v>12982040</v>
      </c>
      <c r="G225" s="74">
        <v>4411008</v>
      </c>
      <c r="H225" s="74">
        <v>0.33977772369999998</v>
      </c>
      <c r="I225">
        <f t="shared" si="7"/>
        <v>7535.096814971088</v>
      </c>
    </row>
    <row r="226" spans="1:9" ht="15.75" thickBot="1">
      <c r="A226" s="74">
        <v>2567</v>
      </c>
      <c r="B226" s="74">
        <v>52600</v>
      </c>
      <c r="C226" s="74" t="str">
        <f t="shared" si="6"/>
        <v>526</v>
      </c>
      <c r="D226" s="75" t="s">
        <v>257</v>
      </c>
      <c r="E226" s="75">
        <f>INDEX(group_data_final!D:D, MATCH(VALUE(C226), group_data_final!C:C, 0))</f>
        <v>621.27700000000004</v>
      </c>
      <c r="F226" s="74">
        <v>5626960</v>
      </c>
      <c r="G226" s="74">
        <v>4408585</v>
      </c>
      <c r="H226" s="74">
        <v>0.78347544680000003</v>
      </c>
      <c r="I226">
        <f t="shared" si="7"/>
        <v>7096.0054854758819</v>
      </c>
    </row>
    <row r="227" spans="1:9" ht="15.75" thickBot="1">
      <c r="A227" s="74">
        <v>2567</v>
      </c>
      <c r="B227" s="74">
        <v>53500</v>
      </c>
      <c r="C227" s="74" t="str">
        <f t="shared" si="6"/>
        <v>535</v>
      </c>
      <c r="D227" s="75" t="s">
        <v>223</v>
      </c>
      <c r="E227" s="75">
        <f>INDEX(group_data_final!D:D, MATCH(VALUE(C227), group_data_final!C:C, 0))</f>
        <v>731.81200000000001</v>
      </c>
      <c r="F227" s="74">
        <v>18963799</v>
      </c>
      <c r="G227" s="74">
        <v>4406706</v>
      </c>
      <c r="H227" s="74">
        <v>0.2323746418</v>
      </c>
      <c r="I227">
        <f t="shared" si="7"/>
        <v>6021.6367045088082</v>
      </c>
    </row>
    <row r="228" spans="1:9" ht="27" thickBot="1">
      <c r="A228" s="74">
        <v>2568</v>
      </c>
      <c r="B228" s="74">
        <v>62400</v>
      </c>
      <c r="C228" s="74" t="str">
        <f t="shared" si="6"/>
        <v>624</v>
      </c>
      <c r="D228" s="75" t="s">
        <v>294</v>
      </c>
      <c r="E228" s="75">
        <f>INDEX(group_data_final!D:D, MATCH(VALUE(C228), group_data_final!C:C, 0))</f>
        <v>679.35299999999995</v>
      </c>
      <c r="F228" s="74">
        <v>8446982</v>
      </c>
      <c r="G228" s="74">
        <v>4348366</v>
      </c>
      <c r="H228" s="74">
        <v>0.5147833865</v>
      </c>
      <c r="I228">
        <f t="shared" si="7"/>
        <v>6400.7460039184343</v>
      </c>
    </row>
    <row r="229" spans="1:9" ht="15.75" thickBot="1">
      <c r="A229" s="74">
        <v>2568</v>
      </c>
      <c r="B229" s="74">
        <v>53500</v>
      </c>
      <c r="C229" s="74" t="str">
        <f t="shared" si="6"/>
        <v>535</v>
      </c>
      <c r="D229" s="75" t="s">
        <v>223</v>
      </c>
      <c r="E229" s="75">
        <f>INDEX(group_data_final!D:D, MATCH(VALUE(C229), group_data_final!C:C, 0))</f>
        <v>731.81200000000001</v>
      </c>
      <c r="F229" s="74">
        <v>19786700</v>
      </c>
      <c r="G229" s="74">
        <v>4342761</v>
      </c>
      <c r="H229" s="74">
        <v>0.2194787913</v>
      </c>
      <c r="I229">
        <f t="shared" si="7"/>
        <v>5934.2577055309284</v>
      </c>
    </row>
    <row r="230" spans="1:9" ht="15.75" thickBot="1">
      <c r="A230" s="74">
        <v>2567</v>
      </c>
      <c r="B230" s="74">
        <v>53900</v>
      </c>
      <c r="C230" s="74" t="str">
        <f t="shared" si="6"/>
        <v>539</v>
      </c>
      <c r="D230" s="75" t="s">
        <v>258</v>
      </c>
      <c r="E230" s="75">
        <f>INDEX(group_data_final!D:D, MATCH(VALUE(C230), group_data_final!C:C, 0))</f>
        <v>600.63099999999997</v>
      </c>
      <c r="F230" s="74">
        <v>11502662</v>
      </c>
      <c r="G230" s="74">
        <v>4304900</v>
      </c>
      <c r="H230" s="74">
        <v>0.37425249910000002</v>
      </c>
      <c r="I230">
        <f t="shared" si="7"/>
        <v>7167.2957273267621</v>
      </c>
    </row>
    <row r="231" spans="1:9" ht="15.75" thickBot="1">
      <c r="A231" s="74">
        <v>2569</v>
      </c>
      <c r="B231" s="74">
        <v>41600</v>
      </c>
      <c r="C231" s="74" t="str">
        <f t="shared" si="6"/>
        <v>416</v>
      </c>
      <c r="D231" s="75" t="s">
        <v>195</v>
      </c>
      <c r="E231" s="75">
        <f>INDEX(group_data_final!D:D, MATCH(VALUE(C231), group_data_final!C:C, 0))</f>
        <v>623.46900000000005</v>
      </c>
      <c r="F231" s="74">
        <v>7011502</v>
      </c>
      <c r="G231" s="74">
        <v>4284956</v>
      </c>
      <c r="H231" s="74">
        <v>0.61113239360000005</v>
      </c>
      <c r="I231">
        <f t="shared" si="7"/>
        <v>6872.7651254513048</v>
      </c>
    </row>
    <row r="232" spans="1:9" ht="15.75" thickBot="1">
      <c r="A232" s="74">
        <v>2568</v>
      </c>
      <c r="B232" s="74">
        <v>31400</v>
      </c>
      <c r="C232" s="74" t="str">
        <f t="shared" si="6"/>
        <v>314</v>
      </c>
      <c r="D232" s="75" t="s">
        <v>260</v>
      </c>
      <c r="E232" s="75">
        <f>INDEX(group_data_final!D:D, MATCH(VALUE(C232), group_data_final!C:C, 0))</f>
        <v>585.505</v>
      </c>
      <c r="F232" s="74">
        <v>7133900</v>
      </c>
      <c r="G232" s="74">
        <v>4197230</v>
      </c>
      <c r="H232" s="74">
        <v>0.58834999089999995</v>
      </c>
      <c r="I232">
        <f t="shared" si="7"/>
        <v>7168.5638892921497</v>
      </c>
    </row>
    <row r="233" spans="1:9" ht="15.75" thickBot="1">
      <c r="A233" s="74">
        <v>2567</v>
      </c>
      <c r="B233" s="74">
        <v>61800</v>
      </c>
      <c r="C233" s="74" t="str">
        <f t="shared" si="6"/>
        <v>618</v>
      </c>
      <c r="D233" s="75" t="s">
        <v>188</v>
      </c>
      <c r="E233" s="75">
        <f>INDEX(group_data_final!D:D, MATCH(VALUE(C233), group_data_final!C:C, 0))</f>
        <v>880.74400000000003</v>
      </c>
      <c r="F233" s="74">
        <v>11981462</v>
      </c>
      <c r="G233" s="74">
        <v>4171272</v>
      </c>
      <c r="H233" s="74">
        <v>0.34814382420000001</v>
      </c>
      <c r="I233">
        <f t="shared" si="7"/>
        <v>4736.0776797798226</v>
      </c>
    </row>
    <row r="234" spans="1:9" ht="15.75" thickBot="1">
      <c r="A234" s="74">
        <v>2569</v>
      </c>
      <c r="B234" s="74">
        <v>52800</v>
      </c>
      <c r="C234" s="74" t="str">
        <f t="shared" si="6"/>
        <v>528</v>
      </c>
      <c r="D234" s="75" t="s">
        <v>234</v>
      </c>
      <c r="E234" s="75">
        <f>INDEX(group_data_final!D:D, MATCH(VALUE(C234), group_data_final!C:C, 0))</f>
        <v>668.21699999999998</v>
      </c>
      <c r="F234" s="74">
        <v>12769200</v>
      </c>
      <c r="G234" s="74">
        <v>4149626</v>
      </c>
      <c r="H234" s="74">
        <v>0.32497149390000002</v>
      </c>
      <c r="I234">
        <f t="shared" si="7"/>
        <v>6209.9976504638462</v>
      </c>
    </row>
    <row r="235" spans="1:9" ht="15.75" thickBot="1">
      <c r="A235" s="74">
        <v>2568</v>
      </c>
      <c r="B235" s="74">
        <v>55700</v>
      </c>
      <c r="C235" s="74" t="str">
        <f t="shared" si="6"/>
        <v>557</v>
      </c>
      <c r="D235" s="75" t="s">
        <v>266</v>
      </c>
      <c r="E235" s="75">
        <f>INDEX(group_data_final!D:D, MATCH(VALUE(C235), group_data_final!C:C, 0))</f>
        <v>590.94799999999998</v>
      </c>
      <c r="F235" s="74">
        <v>13190388</v>
      </c>
      <c r="G235" s="74">
        <v>4126868</v>
      </c>
      <c r="H235" s="74">
        <v>0.31286934090000001</v>
      </c>
      <c r="I235">
        <f t="shared" si="7"/>
        <v>6983.4706268571854</v>
      </c>
    </row>
    <row r="236" spans="1:9" ht="15.75" thickBot="1">
      <c r="A236" s="74">
        <v>2569</v>
      </c>
      <c r="B236" s="74">
        <v>44700</v>
      </c>
      <c r="C236" s="74" t="str">
        <f t="shared" si="6"/>
        <v>447</v>
      </c>
      <c r="D236" s="75" t="s">
        <v>269</v>
      </c>
      <c r="E236" s="75">
        <f>INDEX(group_data_final!D:D, MATCH(VALUE(C236), group_data_final!C:C, 0))</f>
        <v>547.51199999999994</v>
      </c>
      <c r="F236" s="74">
        <v>9536590</v>
      </c>
      <c r="G236" s="74">
        <v>4118745</v>
      </c>
      <c r="H236" s="74">
        <v>0.43188865199999998</v>
      </c>
      <c r="I236">
        <f t="shared" si="7"/>
        <v>7522.6570376539703</v>
      </c>
    </row>
    <row r="237" spans="1:9" ht="15.75" thickBot="1">
      <c r="A237" s="74">
        <v>2569</v>
      </c>
      <c r="B237" s="74">
        <v>53900</v>
      </c>
      <c r="C237" s="74" t="str">
        <f t="shared" si="6"/>
        <v>539</v>
      </c>
      <c r="D237" s="75" t="s">
        <v>258</v>
      </c>
      <c r="E237" s="75">
        <f>INDEX(group_data_final!D:D, MATCH(VALUE(C237), group_data_final!C:C, 0))</f>
        <v>600.63099999999997</v>
      </c>
      <c r="F237" s="74">
        <v>11804532</v>
      </c>
      <c r="G237" s="74">
        <v>4114902</v>
      </c>
      <c r="H237" s="74">
        <v>0.34858662759999998</v>
      </c>
      <c r="I237">
        <f t="shared" si="7"/>
        <v>6850.965068403063</v>
      </c>
    </row>
    <row r="238" spans="1:9" ht="15.75" thickBot="1">
      <c r="A238" s="74">
        <v>2567</v>
      </c>
      <c r="B238" s="74">
        <v>33600</v>
      </c>
      <c r="C238" s="74" t="str">
        <f t="shared" si="6"/>
        <v>336</v>
      </c>
      <c r="D238" s="75" t="s">
        <v>236</v>
      </c>
      <c r="E238" s="75">
        <f>INDEX(group_data_final!D:D, MATCH(VALUE(C238), group_data_final!C:C, 0))</f>
        <v>600.327</v>
      </c>
      <c r="F238" s="74">
        <v>5810000</v>
      </c>
      <c r="G238" s="74">
        <v>4096382</v>
      </c>
      <c r="H238" s="74">
        <v>0.70505714289999999</v>
      </c>
      <c r="I238">
        <f t="shared" si="7"/>
        <v>6823.5844797918471</v>
      </c>
    </row>
    <row r="239" spans="1:9" ht="15.75" thickBot="1">
      <c r="A239" s="74">
        <v>2569</v>
      </c>
      <c r="B239" s="74">
        <v>52400</v>
      </c>
      <c r="C239" s="74" t="str">
        <f t="shared" si="6"/>
        <v>524</v>
      </c>
      <c r="D239" s="75" t="s">
        <v>249</v>
      </c>
      <c r="E239" s="75">
        <f>INDEX(group_data_final!D:D, MATCH(VALUE(C239), group_data_final!C:C, 0))</f>
        <v>650.26800000000003</v>
      </c>
      <c r="F239" s="74">
        <v>9370400</v>
      </c>
      <c r="G239" s="74">
        <v>4085665</v>
      </c>
      <c r="H239" s="74">
        <v>0.43601820629999999</v>
      </c>
      <c r="I239">
        <f t="shared" si="7"/>
        <v>6283.0479125529782</v>
      </c>
    </row>
    <row r="240" spans="1:9" ht="15.75" thickBot="1">
      <c r="A240" s="74">
        <v>2567</v>
      </c>
      <c r="B240" s="74">
        <v>42300</v>
      </c>
      <c r="C240" s="74" t="str">
        <f t="shared" si="6"/>
        <v>423</v>
      </c>
      <c r="D240" s="75" t="s">
        <v>217</v>
      </c>
      <c r="E240" s="75">
        <f>INDEX(group_data_final!D:D, MATCH(VALUE(C240), group_data_final!C:C, 0))</f>
        <v>770.64400000000001</v>
      </c>
      <c r="F240" s="74">
        <v>9647056</v>
      </c>
      <c r="G240" s="74">
        <v>4082649</v>
      </c>
      <c r="H240" s="74">
        <v>0.42320154459999998</v>
      </c>
      <c r="I240">
        <f t="shared" si="7"/>
        <v>5297.7107458177834</v>
      </c>
    </row>
    <row r="241" spans="1:9" ht="15.75" thickBot="1">
      <c r="A241" s="74">
        <v>2567</v>
      </c>
      <c r="B241" s="74">
        <v>42500</v>
      </c>
      <c r="C241" s="74" t="str">
        <f t="shared" si="6"/>
        <v>425</v>
      </c>
      <c r="D241" s="75" t="s">
        <v>248</v>
      </c>
      <c r="E241" s="75">
        <f>INDEX(group_data_final!D:D, MATCH(VALUE(C241), group_data_final!C:C, 0))</f>
        <v>677.55799999999999</v>
      </c>
      <c r="F241" s="74">
        <v>9216200</v>
      </c>
      <c r="G241" s="74">
        <v>4034479</v>
      </c>
      <c r="H241" s="74">
        <v>0.43775948869999998</v>
      </c>
      <c r="I241">
        <f t="shared" si="7"/>
        <v>5954.4408006399453</v>
      </c>
    </row>
    <row r="242" spans="1:9" ht="15.75" thickBot="1">
      <c r="A242" s="74">
        <v>2569</v>
      </c>
      <c r="B242" s="74">
        <v>63900</v>
      </c>
      <c r="C242" s="74" t="str">
        <f t="shared" si="6"/>
        <v>639</v>
      </c>
      <c r="D242" s="75" t="s">
        <v>229</v>
      </c>
      <c r="E242" s="75">
        <f>INDEX(group_data_final!D:D, MATCH(VALUE(C242), group_data_final!C:C, 0))</f>
        <v>744.57500000000005</v>
      </c>
      <c r="F242" s="74">
        <v>6929800</v>
      </c>
      <c r="G242" s="74">
        <v>4027030</v>
      </c>
      <c r="H242" s="74">
        <v>0.58111778120000002</v>
      </c>
      <c r="I242">
        <f t="shared" si="7"/>
        <v>5408.4947789007147</v>
      </c>
    </row>
    <row r="243" spans="1:9" ht="15.75" thickBot="1">
      <c r="A243" s="74">
        <v>2567</v>
      </c>
      <c r="B243" s="74">
        <v>61500</v>
      </c>
      <c r="C243" s="74" t="str">
        <f t="shared" si="6"/>
        <v>615</v>
      </c>
      <c r="D243" s="75" t="s">
        <v>169</v>
      </c>
      <c r="E243" s="75">
        <f>INDEX(group_data_final!D:D, MATCH(VALUE(C243), group_data_final!C:C, 0))</f>
        <v>1493.0940000000001</v>
      </c>
      <c r="F243" s="74">
        <v>10109522</v>
      </c>
      <c r="G243" s="74">
        <v>4011981</v>
      </c>
      <c r="H243" s="74">
        <v>0.39685170079999998</v>
      </c>
      <c r="I243">
        <f t="shared" si="7"/>
        <v>2687.0250633918558</v>
      </c>
    </row>
    <row r="244" spans="1:9" ht="15.75" thickBot="1">
      <c r="A244" s="74">
        <v>2568</v>
      </c>
      <c r="B244" s="74">
        <v>52400</v>
      </c>
      <c r="C244" s="74" t="str">
        <f t="shared" si="6"/>
        <v>524</v>
      </c>
      <c r="D244" s="75" t="s">
        <v>249</v>
      </c>
      <c r="E244" s="75">
        <f>INDEX(group_data_final!D:D, MATCH(VALUE(C244), group_data_final!C:C, 0))</f>
        <v>650.26800000000003</v>
      </c>
      <c r="F244" s="74">
        <v>9617600</v>
      </c>
      <c r="G244" s="74">
        <v>4002941</v>
      </c>
      <c r="H244" s="74">
        <v>0.41620996919999997</v>
      </c>
      <c r="I244">
        <f t="shared" si="7"/>
        <v>6155.8326720675168</v>
      </c>
    </row>
    <row r="245" spans="1:9" ht="27" thickBot="1">
      <c r="A245" s="74">
        <v>2567</v>
      </c>
      <c r="B245" s="74">
        <v>33700</v>
      </c>
      <c r="C245" s="74" t="str">
        <f t="shared" si="6"/>
        <v>337</v>
      </c>
      <c r="D245" s="75" t="s">
        <v>263</v>
      </c>
      <c r="E245" s="75">
        <f>INDEX(group_data_final!D:D, MATCH(VALUE(C245), group_data_final!C:C, 0))</f>
        <v>527.11</v>
      </c>
      <c r="F245" s="74">
        <v>8535098</v>
      </c>
      <c r="G245" s="74">
        <v>3831244</v>
      </c>
      <c r="H245" s="74">
        <v>0.44888107900000002</v>
      </c>
      <c r="I245">
        <f t="shared" si="7"/>
        <v>7268.3955910531004</v>
      </c>
    </row>
    <row r="246" spans="1:9" ht="15.75" thickBot="1">
      <c r="A246" s="74">
        <v>2568</v>
      </c>
      <c r="B246" s="74">
        <v>41100</v>
      </c>
      <c r="C246" s="74" t="str">
        <f t="shared" si="6"/>
        <v>411</v>
      </c>
      <c r="D246" s="75" t="s">
        <v>194</v>
      </c>
      <c r="E246" s="75">
        <f>INDEX(group_data_final!D:D, MATCH(VALUE(C246), group_data_final!C:C, 0))</f>
        <v>566.44399999999996</v>
      </c>
      <c r="F246" s="74">
        <v>4471721</v>
      </c>
      <c r="G246" s="74">
        <v>3831064</v>
      </c>
      <c r="H246" s="74">
        <v>0.85673144629999998</v>
      </c>
      <c r="I246">
        <f t="shared" si="7"/>
        <v>6763.358778625955</v>
      </c>
    </row>
    <row r="247" spans="1:9" ht="27" thickBot="1">
      <c r="A247" s="74">
        <v>2567</v>
      </c>
      <c r="B247" s="74">
        <v>61200</v>
      </c>
      <c r="C247" s="74" t="str">
        <f t="shared" si="6"/>
        <v>612</v>
      </c>
      <c r="D247" s="75" t="s">
        <v>171</v>
      </c>
      <c r="E247" s="75">
        <f>INDEX(group_data_final!D:D, MATCH(VALUE(C247), group_data_final!C:C, 0))</f>
        <v>1055.279</v>
      </c>
      <c r="F247" s="74">
        <v>5578000</v>
      </c>
      <c r="G247" s="74">
        <v>3819887</v>
      </c>
      <c r="H247" s="74">
        <v>0.68481301539999995</v>
      </c>
      <c r="I247">
        <f t="shared" si="7"/>
        <v>3619.788700428986</v>
      </c>
    </row>
    <row r="248" spans="1:9" ht="15.75" thickBot="1">
      <c r="A248" s="74">
        <v>2568</v>
      </c>
      <c r="B248" s="74">
        <v>53900</v>
      </c>
      <c r="C248" s="74" t="str">
        <f t="shared" si="6"/>
        <v>539</v>
      </c>
      <c r="D248" s="75" t="s">
        <v>258</v>
      </c>
      <c r="E248" s="75">
        <f>INDEX(group_data_final!D:D, MATCH(VALUE(C248), group_data_final!C:C, 0))</f>
        <v>600.63099999999997</v>
      </c>
      <c r="F248" s="74">
        <v>10472629</v>
      </c>
      <c r="G248" s="74">
        <v>3758400</v>
      </c>
      <c r="H248" s="74">
        <v>0.35887836760000003</v>
      </c>
      <c r="I248">
        <f t="shared" si="7"/>
        <v>6257.4192807231066</v>
      </c>
    </row>
    <row r="249" spans="1:9" ht="15.75" thickBot="1">
      <c r="A249" s="74">
        <v>2567</v>
      </c>
      <c r="B249" s="74">
        <v>44800</v>
      </c>
      <c r="C249" s="74" t="str">
        <f t="shared" si="6"/>
        <v>448</v>
      </c>
      <c r="D249" s="75" t="s">
        <v>252</v>
      </c>
      <c r="E249" s="75">
        <f>INDEX(group_data_final!D:D, MATCH(VALUE(C249), group_data_final!C:C, 0))</f>
        <v>603.35799999999995</v>
      </c>
      <c r="F249" s="74">
        <v>9471091</v>
      </c>
      <c r="G249" s="74">
        <v>3747592</v>
      </c>
      <c r="H249" s="74">
        <v>0.3956874662</v>
      </c>
      <c r="I249">
        <f t="shared" si="7"/>
        <v>6211.2245134729301</v>
      </c>
    </row>
    <row r="250" spans="1:9" ht="15.75" thickBot="1">
      <c r="A250" s="74">
        <v>2568</v>
      </c>
      <c r="B250" s="74">
        <v>31200</v>
      </c>
      <c r="C250" s="74" t="str">
        <f t="shared" si="6"/>
        <v>312</v>
      </c>
      <c r="D250" s="75" t="s">
        <v>270</v>
      </c>
      <c r="E250" s="75">
        <f>INDEX(group_data_final!D:D, MATCH(VALUE(C250), group_data_final!C:C, 0))</f>
        <v>557.19200000000001</v>
      </c>
      <c r="F250" s="74">
        <v>3311910</v>
      </c>
      <c r="G250" s="74">
        <v>3700000</v>
      </c>
      <c r="H250" s="74">
        <v>1.117180117</v>
      </c>
      <c r="I250">
        <f t="shared" si="7"/>
        <v>6640.439920171144</v>
      </c>
    </row>
    <row r="251" spans="1:9" ht="15.75" thickBot="1">
      <c r="A251" s="74">
        <v>2569</v>
      </c>
      <c r="B251" s="74">
        <v>51200</v>
      </c>
      <c r="C251" s="74" t="str">
        <f t="shared" si="6"/>
        <v>512</v>
      </c>
      <c r="D251" s="75" t="s">
        <v>209</v>
      </c>
      <c r="E251" s="75">
        <f>INDEX(group_data_final!D:D, MATCH(VALUE(C251), group_data_final!C:C, 0))</f>
        <v>830.79600000000005</v>
      </c>
      <c r="F251" s="74">
        <v>10330970</v>
      </c>
      <c r="G251" s="74">
        <v>3681520</v>
      </c>
      <c r="H251" s="74">
        <v>0.35635763149999999</v>
      </c>
      <c r="I251">
        <f t="shared" si="7"/>
        <v>4431.3164723951486</v>
      </c>
    </row>
    <row r="252" spans="1:9" ht="15.75" thickBot="1">
      <c r="A252" s="74">
        <v>2567</v>
      </c>
      <c r="B252" s="74">
        <v>33100</v>
      </c>
      <c r="C252" s="74" t="str">
        <f t="shared" si="6"/>
        <v>331</v>
      </c>
      <c r="D252" s="75" t="s">
        <v>265</v>
      </c>
      <c r="E252" s="75">
        <f>INDEX(group_data_final!D:D, MATCH(VALUE(C252), group_data_final!C:C, 0))</f>
        <v>536.827</v>
      </c>
      <c r="F252" s="74">
        <v>9636420</v>
      </c>
      <c r="G252" s="74">
        <v>3668694</v>
      </c>
      <c r="H252" s="74">
        <v>0.38071130149999999</v>
      </c>
      <c r="I252">
        <f t="shared" si="7"/>
        <v>6834.0340556641149</v>
      </c>
    </row>
    <row r="253" spans="1:9" ht="15.75" thickBot="1">
      <c r="A253" s="74">
        <v>2567</v>
      </c>
      <c r="B253" s="74">
        <v>62900</v>
      </c>
      <c r="C253" s="74" t="str">
        <f t="shared" si="6"/>
        <v>629</v>
      </c>
      <c r="D253" s="75" t="s">
        <v>264</v>
      </c>
      <c r="E253" s="75">
        <f>INDEX(group_data_final!D:D, MATCH(VALUE(C253), group_data_final!C:C, 0))</f>
        <v>534.08699999999999</v>
      </c>
      <c r="F253" s="74">
        <v>10467309</v>
      </c>
      <c r="G253" s="74">
        <v>3551130</v>
      </c>
      <c r="H253" s="74">
        <v>0.33925911619999999</v>
      </c>
      <c r="I253">
        <f t="shared" si="7"/>
        <v>6648.9729201422242</v>
      </c>
    </row>
    <row r="254" spans="1:9" ht="15.75" thickBot="1">
      <c r="A254" s="74">
        <v>2569</v>
      </c>
      <c r="B254" s="74">
        <v>31200</v>
      </c>
      <c r="C254" s="74" t="str">
        <f t="shared" si="6"/>
        <v>312</v>
      </c>
      <c r="D254" s="75" t="s">
        <v>270</v>
      </c>
      <c r="E254" s="75">
        <f>INDEX(group_data_final!D:D, MATCH(VALUE(C254), group_data_final!C:C, 0))</f>
        <v>557.19200000000001</v>
      </c>
      <c r="F254" s="74">
        <v>3314910</v>
      </c>
      <c r="G254" s="74">
        <v>3512530</v>
      </c>
      <c r="H254" s="74">
        <v>1.0596154950000001</v>
      </c>
      <c r="I254">
        <f t="shared" si="7"/>
        <v>6303.9849818374996</v>
      </c>
    </row>
    <row r="255" spans="1:9" ht="15.75" thickBot="1">
      <c r="A255" s="74">
        <v>2567</v>
      </c>
      <c r="B255" s="74">
        <v>51200</v>
      </c>
      <c r="C255" s="74" t="str">
        <f t="shared" si="6"/>
        <v>512</v>
      </c>
      <c r="D255" s="75" t="s">
        <v>209</v>
      </c>
      <c r="E255" s="75">
        <f>INDEX(group_data_final!D:D, MATCH(VALUE(C255), group_data_final!C:C, 0))</f>
        <v>830.79600000000005</v>
      </c>
      <c r="F255" s="74">
        <v>19579424</v>
      </c>
      <c r="G255" s="74">
        <v>3451747</v>
      </c>
      <c r="H255" s="74">
        <v>0.1762946142</v>
      </c>
      <c r="I255">
        <f t="shared" si="7"/>
        <v>4154.7467729743521</v>
      </c>
    </row>
    <row r="256" spans="1:9" ht="15.75" thickBot="1">
      <c r="A256" s="74">
        <v>2567</v>
      </c>
      <c r="B256" s="74">
        <v>31200</v>
      </c>
      <c r="C256" s="74" t="str">
        <f t="shared" si="6"/>
        <v>312</v>
      </c>
      <c r="D256" s="75" t="s">
        <v>270</v>
      </c>
      <c r="E256" s="75">
        <f>INDEX(group_data_final!D:D, MATCH(VALUE(C256), group_data_final!C:C, 0))</f>
        <v>557.19200000000001</v>
      </c>
      <c r="F256" s="74">
        <v>4437300</v>
      </c>
      <c r="G256" s="74">
        <v>3445111</v>
      </c>
      <c r="H256" s="74">
        <v>0.77639803480000003</v>
      </c>
      <c r="I256">
        <f t="shared" si="7"/>
        <v>6182.9871929245219</v>
      </c>
    </row>
    <row r="257" spans="1:9" ht="15.75" thickBot="1">
      <c r="A257" s="74">
        <v>2567</v>
      </c>
      <c r="B257" s="74">
        <v>52100</v>
      </c>
      <c r="C257" s="74" t="str">
        <f t="shared" si="6"/>
        <v>521</v>
      </c>
      <c r="D257" s="75" t="s">
        <v>516</v>
      </c>
      <c r="E257" s="75">
        <f>INDEX(group_data_final!D:D, MATCH(VALUE(C257), group_data_final!C:C, 0))</f>
        <v>760.61199999999997</v>
      </c>
      <c r="F257" s="74">
        <v>7935056</v>
      </c>
      <c r="G257" s="74">
        <v>3416121</v>
      </c>
      <c r="H257" s="74">
        <v>0.43051000519999999</v>
      </c>
      <c r="I257">
        <f t="shared" si="7"/>
        <v>4491.2793908063504</v>
      </c>
    </row>
    <row r="258" spans="1:9" ht="27" thickBot="1">
      <c r="A258" s="74">
        <v>2569</v>
      </c>
      <c r="B258" s="74">
        <v>63100</v>
      </c>
      <c r="C258" s="74" t="str">
        <f t="shared" si="6"/>
        <v>631</v>
      </c>
      <c r="D258" s="75" t="s">
        <v>246</v>
      </c>
      <c r="E258" s="75">
        <f>INDEX(group_data_final!D:D, MATCH(VALUE(C258), group_data_final!C:C, 0))</f>
        <v>681.58500000000004</v>
      </c>
      <c r="F258" s="74">
        <v>5735000</v>
      </c>
      <c r="G258" s="74">
        <v>3409158</v>
      </c>
      <c r="H258" s="74">
        <v>0.59444777680000005</v>
      </c>
      <c r="I258">
        <f t="shared" si="7"/>
        <v>5001.8090186843901</v>
      </c>
    </row>
    <row r="259" spans="1:9" ht="27" thickBot="1">
      <c r="A259" s="74">
        <v>2569</v>
      </c>
      <c r="B259" s="74">
        <v>31900</v>
      </c>
      <c r="C259" s="74" t="str">
        <f t="shared" ref="C259:C311" si="8">LEFT(B259,3)</f>
        <v>319</v>
      </c>
      <c r="D259" s="75" t="s">
        <v>272</v>
      </c>
      <c r="E259" s="75">
        <f>INDEX(group_data_final!D:D, MATCH(VALUE(C259), group_data_final!C:C, 0))</f>
        <v>512.75699999999995</v>
      </c>
      <c r="F259" s="74">
        <v>5080000</v>
      </c>
      <c r="G259" s="74">
        <v>3363297</v>
      </c>
      <c r="H259" s="74">
        <v>0.66206633859999997</v>
      </c>
      <c r="I259">
        <f t="shared" ref="I259:I311" si="9">G259/E259</f>
        <v>6559.2415120612695</v>
      </c>
    </row>
    <row r="260" spans="1:9" ht="15.75" thickBot="1">
      <c r="A260" s="74">
        <v>2569</v>
      </c>
      <c r="B260" s="74">
        <v>31400</v>
      </c>
      <c r="C260" s="74" t="str">
        <f t="shared" si="8"/>
        <v>314</v>
      </c>
      <c r="D260" s="75" t="s">
        <v>260</v>
      </c>
      <c r="E260" s="75">
        <f>INDEX(group_data_final!D:D, MATCH(VALUE(C260), group_data_final!C:C, 0))</f>
        <v>585.505</v>
      </c>
      <c r="F260" s="74">
        <v>10221000</v>
      </c>
      <c r="G260" s="74">
        <v>3334350</v>
      </c>
      <c r="H260" s="74">
        <v>0.32622541830000001</v>
      </c>
      <c r="I260">
        <f t="shared" si="9"/>
        <v>5694.8275420363616</v>
      </c>
    </row>
    <row r="261" spans="1:9" ht="27" thickBot="1">
      <c r="A261" s="74">
        <v>2568</v>
      </c>
      <c r="B261" s="74">
        <v>41700</v>
      </c>
      <c r="C261" s="74" t="str">
        <f t="shared" si="8"/>
        <v>417</v>
      </c>
      <c r="D261" s="75" t="s">
        <v>176</v>
      </c>
      <c r="E261" s="75">
        <f>INDEX(group_data_final!D:D, MATCH(VALUE(C261), group_data_final!C:C, 0))</f>
        <v>744.57799999999997</v>
      </c>
      <c r="F261" s="74">
        <v>2132500</v>
      </c>
      <c r="G261" s="74">
        <v>3334070</v>
      </c>
      <c r="H261" s="74">
        <v>1.563456038</v>
      </c>
      <c r="I261">
        <f t="shared" si="9"/>
        <v>4477.7981621804565</v>
      </c>
    </row>
    <row r="262" spans="1:9" ht="15.75" thickBot="1">
      <c r="A262" s="74">
        <v>2568</v>
      </c>
      <c r="B262" s="74">
        <v>32400</v>
      </c>
      <c r="C262" s="74" t="str">
        <f t="shared" si="8"/>
        <v>324</v>
      </c>
      <c r="D262" s="75" t="s">
        <v>230</v>
      </c>
      <c r="E262" s="75">
        <f>INDEX(group_data_final!D:D, MATCH(VALUE(C262), group_data_final!C:C, 0))</f>
        <v>603.14099999999996</v>
      </c>
      <c r="F262" s="74">
        <v>6642567</v>
      </c>
      <c r="G262" s="74">
        <v>3332483</v>
      </c>
      <c r="H262" s="74">
        <v>0.50168601989999995</v>
      </c>
      <c r="I262">
        <f t="shared" si="9"/>
        <v>5525.2138388867616</v>
      </c>
    </row>
    <row r="263" spans="1:9" ht="27" thickBot="1">
      <c r="A263" s="74">
        <v>2567</v>
      </c>
      <c r="B263" s="74">
        <v>63600</v>
      </c>
      <c r="C263" s="74" t="str">
        <f t="shared" si="8"/>
        <v>636</v>
      </c>
      <c r="D263" s="75" t="s">
        <v>245</v>
      </c>
      <c r="E263" s="75">
        <f>INDEX(group_data_final!D:D, MATCH(VALUE(C263), group_data_final!C:C, 0))</f>
        <v>681.38300000000004</v>
      </c>
      <c r="F263" s="74">
        <v>6852800</v>
      </c>
      <c r="G263" s="74">
        <v>3324585</v>
      </c>
      <c r="H263" s="74">
        <v>0.48514256950000001</v>
      </c>
      <c r="I263">
        <f t="shared" si="9"/>
        <v>4879.1722129844738</v>
      </c>
    </row>
    <row r="264" spans="1:9" ht="15.75" thickBot="1">
      <c r="A264" s="74">
        <v>2569</v>
      </c>
      <c r="B264" s="74">
        <v>62900</v>
      </c>
      <c r="C264" s="74" t="str">
        <f t="shared" si="8"/>
        <v>629</v>
      </c>
      <c r="D264" s="75" t="s">
        <v>264</v>
      </c>
      <c r="E264" s="75">
        <f>INDEX(group_data_final!D:D, MATCH(VALUE(C264), group_data_final!C:C, 0))</f>
        <v>534.08699999999999</v>
      </c>
      <c r="F264" s="74">
        <v>9444002</v>
      </c>
      <c r="G264" s="74">
        <v>3307329</v>
      </c>
      <c r="H264" s="74">
        <v>0.35020418250000002</v>
      </c>
      <c r="I264">
        <f t="shared" si="9"/>
        <v>6192.4911109987697</v>
      </c>
    </row>
    <row r="265" spans="1:9" ht="15.75" thickBot="1">
      <c r="A265" s="74">
        <v>2567</v>
      </c>
      <c r="B265" s="74">
        <v>42100</v>
      </c>
      <c r="C265" s="74" t="str">
        <f t="shared" si="8"/>
        <v>421</v>
      </c>
      <c r="D265" s="75" t="s">
        <v>174</v>
      </c>
      <c r="E265" s="75">
        <f>INDEX(group_data_final!D:D, MATCH(VALUE(C265), group_data_final!C:C, 0))</f>
        <v>955.31600000000003</v>
      </c>
      <c r="F265" s="74">
        <v>4850511</v>
      </c>
      <c r="G265" s="74">
        <v>3294483</v>
      </c>
      <c r="H265" s="74">
        <v>0.67920328389999995</v>
      </c>
      <c r="I265">
        <f t="shared" si="9"/>
        <v>3448.5793182569955</v>
      </c>
    </row>
    <row r="266" spans="1:9" ht="15.75" thickBot="1">
      <c r="A266" s="74">
        <v>2569</v>
      </c>
      <c r="B266" s="74">
        <v>61800</v>
      </c>
      <c r="C266" s="74" t="str">
        <f t="shared" si="8"/>
        <v>618</v>
      </c>
      <c r="D266" s="75" t="s">
        <v>188</v>
      </c>
      <c r="E266" s="75">
        <f>INDEX(group_data_final!D:D, MATCH(VALUE(C266), group_data_final!C:C, 0))</f>
        <v>880.74400000000003</v>
      </c>
      <c r="F266" s="74">
        <v>5099500</v>
      </c>
      <c r="G266" s="74">
        <v>3281384</v>
      </c>
      <c r="H266" s="74">
        <v>0.64347171290000005</v>
      </c>
      <c r="I266">
        <f t="shared" si="9"/>
        <v>3725.6955483091565</v>
      </c>
    </row>
    <row r="267" spans="1:9" ht="27" thickBot="1">
      <c r="A267" s="74">
        <v>2568</v>
      </c>
      <c r="B267" s="74">
        <v>64200</v>
      </c>
      <c r="C267" s="74" t="str">
        <f t="shared" si="8"/>
        <v>642</v>
      </c>
      <c r="D267" s="75" t="s">
        <v>288</v>
      </c>
      <c r="E267" s="75">
        <f>INDEX(group_data_final!D:D, MATCH(VALUE(C267), group_data_final!C:C, 0))</f>
        <v>660.03599999999994</v>
      </c>
      <c r="F267" s="74">
        <v>7946770</v>
      </c>
      <c r="G267" s="74">
        <v>3277985</v>
      </c>
      <c r="H267" s="74">
        <v>0.41249274860000001</v>
      </c>
      <c r="I267">
        <f t="shared" si="9"/>
        <v>4966.3730463186857</v>
      </c>
    </row>
    <row r="268" spans="1:9" ht="15.75" thickBot="1">
      <c r="A268" s="74">
        <v>2568</v>
      </c>
      <c r="B268" s="74">
        <v>62900</v>
      </c>
      <c r="C268" s="74" t="str">
        <f t="shared" si="8"/>
        <v>629</v>
      </c>
      <c r="D268" s="75" t="s">
        <v>264</v>
      </c>
      <c r="E268" s="75">
        <f>INDEX(group_data_final!D:D, MATCH(VALUE(C268), group_data_final!C:C, 0))</f>
        <v>534.08699999999999</v>
      </c>
      <c r="F268" s="74">
        <v>9600188</v>
      </c>
      <c r="G268" s="74">
        <v>3271759</v>
      </c>
      <c r="H268" s="74">
        <v>0.34080155509999999</v>
      </c>
      <c r="I268">
        <f t="shared" si="9"/>
        <v>6125.8914746099417</v>
      </c>
    </row>
    <row r="269" spans="1:9" ht="15.75" thickBot="1">
      <c r="A269" s="74">
        <v>2567</v>
      </c>
      <c r="B269" s="74">
        <v>64300</v>
      </c>
      <c r="C269" s="74" t="str">
        <f t="shared" si="8"/>
        <v>643</v>
      </c>
      <c r="D269" s="75" t="s">
        <v>251</v>
      </c>
      <c r="E269" s="75">
        <f>INDEX(group_data_final!D:D, MATCH(VALUE(C269), group_data_final!C:C, 0))</f>
        <v>649.12</v>
      </c>
      <c r="F269" s="74">
        <v>4738120</v>
      </c>
      <c r="G269" s="74">
        <v>3264364</v>
      </c>
      <c r="H269" s="74">
        <v>0.68895764559999995</v>
      </c>
      <c r="I269">
        <f t="shared" si="9"/>
        <v>5028.9068277052011</v>
      </c>
    </row>
    <row r="270" spans="1:9" ht="15.75" thickBot="1">
      <c r="A270" s="74">
        <v>2568</v>
      </c>
      <c r="B270" s="74">
        <v>33600</v>
      </c>
      <c r="C270" s="74" t="str">
        <f t="shared" si="8"/>
        <v>336</v>
      </c>
      <c r="D270" s="75" t="s">
        <v>236</v>
      </c>
      <c r="E270" s="75">
        <f>INDEX(group_data_final!D:D, MATCH(VALUE(C270), group_data_final!C:C, 0))</f>
        <v>600.327</v>
      </c>
      <c r="F270" s="74">
        <v>5301000</v>
      </c>
      <c r="G270" s="74">
        <v>3260192</v>
      </c>
      <c r="H270" s="74">
        <v>0.61501452560000003</v>
      </c>
      <c r="I270">
        <f t="shared" si="9"/>
        <v>5430.6936053184345</v>
      </c>
    </row>
    <row r="271" spans="1:9" ht="15.75" thickBot="1">
      <c r="A271" s="74">
        <v>2567</v>
      </c>
      <c r="B271" s="74">
        <v>43300</v>
      </c>
      <c r="C271" s="74" t="str">
        <f t="shared" si="8"/>
        <v>433</v>
      </c>
      <c r="D271" s="75" t="s">
        <v>259</v>
      </c>
      <c r="E271" s="75">
        <f>INDEX(group_data_final!D:D, MATCH(VALUE(C271), group_data_final!C:C, 0))</f>
        <v>585.39499999999998</v>
      </c>
      <c r="F271" s="74">
        <v>11707160</v>
      </c>
      <c r="G271" s="74">
        <v>3166334</v>
      </c>
      <c r="H271" s="74">
        <v>0.27046132449999999</v>
      </c>
      <c r="I271">
        <f t="shared" si="9"/>
        <v>5408.8845992876604</v>
      </c>
    </row>
    <row r="272" spans="1:9" ht="27" thickBot="1">
      <c r="A272" s="74">
        <v>2568</v>
      </c>
      <c r="B272" s="74">
        <v>62100</v>
      </c>
      <c r="C272" s="74" t="str">
        <f t="shared" si="8"/>
        <v>621</v>
      </c>
      <c r="D272" s="75" t="s">
        <v>242</v>
      </c>
      <c r="E272" s="75">
        <f>INDEX(group_data_final!D:D, MATCH(VALUE(C272), group_data_final!C:C, 0))</f>
        <v>640.13199999999995</v>
      </c>
      <c r="F272" s="74">
        <v>24608654</v>
      </c>
      <c r="G272" s="74">
        <v>3142759</v>
      </c>
      <c r="H272" s="74">
        <v>0.12770950410000001</v>
      </c>
      <c r="I272">
        <f t="shared" si="9"/>
        <v>4909.5483431542252</v>
      </c>
    </row>
    <row r="273" spans="1:9" ht="27" thickBot="1">
      <c r="A273" s="74">
        <v>2569</v>
      </c>
      <c r="B273" s="74">
        <v>41700</v>
      </c>
      <c r="C273" s="74" t="str">
        <f t="shared" si="8"/>
        <v>417</v>
      </c>
      <c r="D273" s="75" t="s">
        <v>176</v>
      </c>
      <c r="E273" s="75">
        <f>INDEX(group_data_final!D:D, MATCH(VALUE(C273), group_data_final!C:C, 0))</f>
        <v>744.57799999999997</v>
      </c>
      <c r="F273" s="74">
        <v>2179582</v>
      </c>
      <c r="G273" s="74">
        <v>3120585</v>
      </c>
      <c r="H273" s="74">
        <v>1.4317355350000001</v>
      </c>
      <c r="I273">
        <f t="shared" si="9"/>
        <v>4191.0787049845685</v>
      </c>
    </row>
    <row r="274" spans="1:9" ht="15.75" thickBot="1">
      <c r="A274" s="74">
        <v>2567</v>
      </c>
      <c r="B274" s="74">
        <v>64100</v>
      </c>
      <c r="C274" s="74" t="str">
        <f t="shared" si="8"/>
        <v>641</v>
      </c>
      <c r="D274" s="75" t="s">
        <v>224</v>
      </c>
      <c r="E274" s="75">
        <f>INDEX(group_data_final!D:D, MATCH(VALUE(C274), group_data_final!C:C, 0))</f>
        <v>753.79899999999998</v>
      </c>
      <c r="F274" s="74">
        <v>6342727</v>
      </c>
      <c r="G274" s="74">
        <v>3090490</v>
      </c>
      <c r="H274" s="74">
        <v>0.48724941179999998</v>
      </c>
      <c r="I274">
        <f t="shared" si="9"/>
        <v>4099.8860438923375</v>
      </c>
    </row>
    <row r="275" spans="1:9" ht="15.75" thickBot="1">
      <c r="A275" s="74">
        <v>2568</v>
      </c>
      <c r="B275" s="74">
        <v>64300</v>
      </c>
      <c r="C275" s="74" t="str">
        <f t="shared" si="8"/>
        <v>643</v>
      </c>
      <c r="D275" s="75" t="s">
        <v>251</v>
      </c>
      <c r="E275" s="75">
        <f>INDEX(group_data_final!D:D, MATCH(VALUE(C275), group_data_final!C:C, 0))</f>
        <v>649.12</v>
      </c>
      <c r="F275" s="74">
        <v>6012600</v>
      </c>
      <c r="G275" s="74">
        <v>3018856</v>
      </c>
      <c r="H275" s="74">
        <v>0.50208828130000005</v>
      </c>
      <c r="I275">
        <f t="shared" si="9"/>
        <v>4650.6901651466596</v>
      </c>
    </row>
    <row r="276" spans="1:9" ht="27" thickBot="1">
      <c r="A276" s="74">
        <v>2568</v>
      </c>
      <c r="B276" s="74">
        <v>63100</v>
      </c>
      <c r="C276" s="74" t="str">
        <f t="shared" si="8"/>
        <v>631</v>
      </c>
      <c r="D276" s="75" t="s">
        <v>246</v>
      </c>
      <c r="E276" s="75">
        <f>INDEX(group_data_final!D:D, MATCH(VALUE(C276), group_data_final!C:C, 0))</f>
        <v>681.58500000000004</v>
      </c>
      <c r="F276" s="74">
        <v>5764000</v>
      </c>
      <c r="G276" s="74">
        <v>3015054</v>
      </c>
      <c r="H276" s="74">
        <v>0.52308362249999996</v>
      </c>
      <c r="I276">
        <f t="shared" si="9"/>
        <v>4423.5920684874227</v>
      </c>
    </row>
    <row r="277" spans="1:9" ht="27" thickBot="1">
      <c r="A277" s="74">
        <v>2568</v>
      </c>
      <c r="B277" s="74">
        <v>31900</v>
      </c>
      <c r="C277" s="74" t="str">
        <f t="shared" si="8"/>
        <v>319</v>
      </c>
      <c r="D277" s="75" t="s">
        <v>272</v>
      </c>
      <c r="E277" s="75">
        <f>INDEX(group_data_final!D:D, MATCH(VALUE(C277), group_data_final!C:C, 0))</f>
        <v>512.75699999999995</v>
      </c>
      <c r="F277" s="74">
        <v>6712867</v>
      </c>
      <c r="G277" s="74">
        <v>3009030</v>
      </c>
      <c r="H277" s="74">
        <v>0.44824811809999998</v>
      </c>
      <c r="I277">
        <f t="shared" si="9"/>
        <v>5868.3352933260794</v>
      </c>
    </row>
    <row r="278" spans="1:9" ht="15.75" thickBot="1">
      <c r="A278" s="74">
        <v>2567</v>
      </c>
      <c r="B278" s="74">
        <v>63500</v>
      </c>
      <c r="C278" s="74" t="str">
        <f t="shared" si="8"/>
        <v>635</v>
      </c>
      <c r="D278" s="75" t="s">
        <v>200</v>
      </c>
      <c r="E278" s="75">
        <f>INDEX(group_data_final!D:D, MATCH(VALUE(C278), group_data_final!C:C, 0))</f>
        <v>883.61</v>
      </c>
      <c r="F278" s="74">
        <v>10149450</v>
      </c>
      <c r="G278" s="74">
        <v>2988591</v>
      </c>
      <c r="H278" s="74">
        <v>0.29445841890000002</v>
      </c>
      <c r="I278">
        <f t="shared" si="9"/>
        <v>3382.2512194293863</v>
      </c>
    </row>
    <row r="279" spans="1:9" ht="15.75" thickBot="1">
      <c r="A279" s="74">
        <v>2568</v>
      </c>
      <c r="B279" s="74">
        <v>41900</v>
      </c>
      <c r="C279" s="74" t="str">
        <f t="shared" si="8"/>
        <v>419</v>
      </c>
      <c r="D279" s="75" t="s">
        <v>239</v>
      </c>
      <c r="E279" s="75">
        <f>INDEX(group_data_final!D:D, MATCH(VALUE(C279), group_data_final!C:C, 0))</f>
        <v>440.09199999999998</v>
      </c>
      <c r="F279" s="74">
        <v>3767500</v>
      </c>
      <c r="G279" s="74">
        <v>2982810</v>
      </c>
      <c r="H279" s="74">
        <v>0.79172130060000001</v>
      </c>
      <c r="I279">
        <f t="shared" si="9"/>
        <v>6777.6964816447471</v>
      </c>
    </row>
    <row r="280" spans="1:9" ht="27" thickBot="1">
      <c r="A280" s="74">
        <v>2567</v>
      </c>
      <c r="B280" s="74">
        <v>55200</v>
      </c>
      <c r="C280" s="74" t="str">
        <f t="shared" si="8"/>
        <v>552</v>
      </c>
      <c r="D280" s="75" t="s">
        <v>278</v>
      </c>
      <c r="E280" s="75">
        <f>INDEX(group_data_final!D:D, MATCH(VALUE(C280), group_data_final!C:C, 0))</f>
        <v>780.41499999999996</v>
      </c>
      <c r="F280" s="74">
        <v>6757098</v>
      </c>
      <c r="G280" s="74">
        <v>2947674</v>
      </c>
      <c r="H280" s="74">
        <v>0.43623372049999998</v>
      </c>
      <c r="I280">
        <f t="shared" si="9"/>
        <v>3777.0596413446692</v>
      </c>
    </row>
    <row r="281" spans="1:9" ht="15.75" thickBot="1">
      <c r="A281" s="74">
        <v>2567</v>
      </c>
      <c r="B281" s="74">
        <v>31100</v>
      </c>
      <c r="C281" s="74" t="str">
        <f t="shared" si="8"/>
        <v>311</v>
      </c>
      <c r="D281" s="75" t="s">
        <v>214</v>
      </c>
      <c r="E281" s="75">
        <f>INDEX(group_data_final!D:D, MATCH(VALUE(C281), group_data_final!C:C, 0))</f>
        <v>718.5</v>
      </c>
      <c r="F281" s="74">
        <v>5430933</v>
      </c>
      <c r="G281" s="74">
        <v>2947500</v>
      </c>
      <c r="H281" s="74">
        <v>0.5427244269</v>
      </c>
      <c r="I281">
        <f t="shared" si="9"/>
        <v>4102.2964509394569</v>
      </c>
    </row>
    <row r="282" spans="1:9" ht="27" thickBot="1">
      <c r="A282" s="74">
        <v>2567</v>
      </c>
      <c r="B282" s="74">
        <v>64200</v>
      </c>
      <c r="C282" s="74" t="str">
        <f t="shared" si="8"/>
        <v>642</v>
      </c>
      <c r="D282" s="75" t="s">
        <v>288</v>
      </c>
      <c r="E282" s="75">
        <f>INDEX(group_data_final!D:D, MATCH(VALUE(C282), group_data_final!C:C, 0))</f>
        <v>660.03599999999994</v>
      </c>
      <c r="F282" s="74">
        <v>8417500</v>
      </c>
      <c r="G282" s="74">
        <v>2938563</v>
      </c>
      <c r="H282" s="74">
        <v>0.34910163350000001</v>
      </c>
      <c r="I282">
        <f t="shared" si="9"/>
        <v>4452.1253386178942</v>
      </c>
    </row>
    <row r="283" spans="1:9" ht="27" thickBot="1">
      <c r="A283" s="74">
        <v>2569</v>
      </c>
      <c r="B283" s="74">
        <v>63800</v>
      </c>
      <c r="C283" s="74" t="str">
        <f t="shared" si="8"/>
        <v>638</v>
      </c>
      <c r="D283" s="75" t="s">
        <v>228</v>
      </c>
      <c r="E283" s="75">
        <f>INDEX(group_data_final!D:D, MATCH(VALUE(C283), group_data_final!C:C, 0))</f>
        <v>762.71299999999997</v>
      </c>
      <c r="F283" s="74">
        <v>5598212</v>
      </c>
      <c r="G283" s="74">
        <v>2897467</v>
      </c>
      <c r="H283" s="74">
        <v>0.51757007420000001</v>
      </c>
      <c r="I283">
        <f t="shared" si="9"/>
        <v>3798.8955216444456</v>
      </c>
    </row>
    <row r="284" spans="1:9" ht="27" thickBot="1">
      <c r="A284" s="74">
        <v>2569</v>
      </c>
      <c r="B284" s="74">
        <v>63200</v>
      </c>
      <c r="C284" s="74" t="str">
        <f t="shared" si="8"/>
        <v>632</v>
      </c>
      <c r="D284" s="75" t="s">
        <v>250</v>
      </c>
      <c r="E284" s="75">
        <f>INDEX(group_data_final!D:D, MATCH(VALUE(C284), group_data_final!C:C, 0))</f>
        <v>678.73699999999997</v>
      </c>
      <c r="F284" s="74">
        <v>2580000</v>
      </c>
      <c r="G284" s="74">
        <v>2876853</v>
      </c>
      <c r="H284" s="74">
        <v>1.1150593019999999</v>
      </c>
      <c r="I284">
        <f t="shared" si="9"/>
        <v>4238.5386386774262</v>
      </c>
    </row>
    <row r="285" spans="1:9" ht="27" thickBot="1">
      <c r="A285" s="74">
        <v>2567</v>
      </c>
      <c r="B285" s="74">
        <v>63800</v>
      </c>
      <c r="C285" s="74" t="str">
        <f t="shared" si="8"/>
        <v>638</v>
      </c>
      <c r="D285" s="75" t="s">
        <v>228</v>
      </c>
      <c r="E285" s="75">
        <f>INDEX(group_data_final!D:D, MATCH(VALUE(C285), group_data_final!C:C, 0))</f>
        <v>762.71299999999997</v>
      </c>
      <c r="F285" s="74">
        <v>5155000</v>
      </c>
      <c r="G285" s="74">
        <v>2866716</v>
      </c>
      <c r="H285" s="74">
        <v>0.5561039767</v>
      </c>
      <c r="I285">
        <f t="shared" si="9"/>
        <v>3758.5776038955678</v>
      </c>
    </row>
    <row r="286" spans="1:9" ht="27" thickBot="1">
      <c r="A286" s="74">
        <v>2569</v>
      </c>
      <c r="B286" s="74">
        <v>64200</v>
      </c>
      <c r="C286" s="74" t="str">
        <f t="shared" si="8"/>
        <v>642</v>
      </c>
      <c r="D286" s="75" t="s">
        <v>288</v>
      </c>
      <c r="E286" s="75">
        <f>INDEX(group_data_final!D:D, MATCH(VALUE(C286), group_data_final!C:C, 0))</f>
        <v>660.03599999999994</v>
      </c>
      <c r="F286" s="74">
        <v>8242750</v>
      </c>
      <c r="G286" s="74">
        <v>2843089</v>
      </c>
      <c r="H286" s="74">
        <v>0.34491996000000003</v>
      </c>
      <c r="I286">
        <f t="shared" si="9"/>
        <v>4307.475652843179</v>
      </c>
    </row>
    <row r="287" spans="1:9" ht="15.75" thickBot="1">
      <c r="A287" s="74">
        <v>2568</v>
      </c>
      <c r="B287" s="74">
        <v>33100</v>
      </c>
      <c r="C287" s="74" t="str">
        <f t="shared" si="8"/>
        <v>331</v>
      </c>
      <c r="D287" s="75" t="s">
        <v>265</v>
      </c>
      <c r="E287" s="75">
        <f>INDEX(group_data_final!D:D, MATCH(VALUE(C287), group_data_final!C:C, 0))</f>
        <v>536.827</v>
      </c>
      <c r="F287" s="74">
        <v>7373700</v>
      </c>
      <c r="G287" s="74">
        <v>2837252</v>
      </c>
      <c r="H287" s="74">
        <v>0.38477996120000002</v>
      </c>
      <c r="I287">
        <f t="shared" si="9"/>
        <v>5285.2259666521986</v>
      </c>
    </row>
    <row r="288" spans="1:9" ht="27" thickBot="1">
      <c r="A288" s="74">
        <v>2568</v>
      </c>
      <c r="B288" s="74">
        <v>63200</v>
      </c>
      <c r="C288" s="74" t="str">
        <f t="shared" si="8"/>
        <v>632</v>
      </c>
      <c r="D288" s="75" t="s">
        <v>250</v>
      </c>
      <c r="E288" s="75">
        <f>INDEX(group_data_final!D:D, MATCH(VALUE(C288), group_data_final!C:C, 0))</f>
        <v>678.73699999999997</v>
      </c>
      <c r="F288" s="74">
        <v>2580000</v>
      </c>
      <c r="G288" s="74">
        <v>2831145</v>
      </c>
      <c r="H288" s="74">
        <v>1.0973430230000001</v>
      </c>
      <c r="I288">
        <f t="shared" si="9"/>
        <v>4171.1959124078994</v>
      </c>
    </row>
    <row r="289" spans="1:9" ht="27" thickBot="1">
      <c r="A289" s="74">
        <v>2568</v>
      </c>
      <c r="B289" s="74">
        <v>63600</v>
      </c>
      <c r="C289" s="74" t="str">
        <f t="shared" si="8"/>
        <v>636</v>
      </c>
      <c r="D289" s="75" t="s">
        <v>245</v>
      </c>
      <c r="E289" s="75">
        <f>INDEX(group_data_final!D:D, MATCH(VALUE(C289), group_data_final!C:C, 0))</f>
        <v>681.38300000000004</v>
      </c>
      <c r="F289" s="74">
        <v>4394574</v>
      </c>
      <c r="G289" s="74">
        <v>2707295</v>
      </c>
      <c r="H289" s="74">
        <v>0.61605402480000004</v>
      </c>
      <c r="I289">
        <f t="shared" si="9"/>
        <v>3973.2353169949938</v>
      </c>
    </row>
    <row r="290" spans="1:9" ht="15.75" thickBot="1">
      <c r="A290" s="74">
        <v>2569</v>
      </c>
      <c r="B290" s="74">
        <v>64300</v>
      </c>
      <c r="C290" s="74" t="str">
        <f t="shared" si="8"/>
        <v>643</v>
      </c>
      <c r="D290" s="75" t="s">
        <v>251</v>
      </c>
      <c r="E290" s="75">
        <f>INDEX(group_data_final!D:D, MATCH(VALUE(C290), group_data_final!C:C, 0))</f>
        <v>649.12</v>
      </c>
      <c r="F290" s="74">
        <v>1800000</v>
      </c>
      <c r="G290" s="74">
        <v>2700000</v>
      </c>
      <c r="H290" s="74">
        <v>1.5</v>
      </c>
      <c r="I290">
        <f t="shared" si="9"/>
        <v>4159.4774463889571</v>
      </c>
    </row>
    <row r="291" spans="1:9" ht="27" thickBot="1">
      <c r="A291" s="74">
        <v>2567</v>
      </c>
      <c r="B291" s="74">
        <v>63200</v>
      </c>
      <c r="C291" s="74" t="str">
        <f t="shared" si="8"/>
        <v>632</v>
      </c>
      <c r="D291" s="75" t="s">
        <v>250</v>
      </c>
      <c r="E291" s="75">
        <f>INDEX(group_data_final!D:D, MATCH(VALUE(C291), group_data_final!C:C, 0))</f>
        <v>678.73699999999997</v>
      </c>
      <c r="F291" s="74">
        <v>3202500</v>
      </c>
      <c r="G291" s="74">
        <v>2690827</v>
      </c>
      <c r="H291" s="74">
        <v>0.8402270101</v>
      </c>
      <c r="I291">
        <f t="shared" si="9"/>
        <v>3964.4619344458902</v>
      </c>
    </row>
    <row r="292" spans="1:9" ht="15.75" thickBot="1">
      <c r="A292" s="74">
        <v>2569</v>
      </c>
      <c r="B292" s="74">
        <v>31800</v>
      </c>
      <c r="C292" s="74" t="str">
        <f t="shared" si="8"/>
        <v>318</v>
      </c>
      <c r="D292" s="75" t="s">
        <v>268</v>
      </c>
      <c r="E292" s="75">
        <f>INDEX(group_data_final!D:D, MATCH(VALUE(C292), group_data_final!C:C, 0))</f>
        <v>518.55200000000002</v>
      </c>
      <c r="F292" s="74">
        <v>4718360</v>
      </c>
      <c r="G292" s="74">
        <v>2642305</v>
      </c>
      <c r="H292" s="74">
        <v>0.56000495939999995</v>
      </c>
      <c r="I292">
        <f t="shared" si="9"/>
        <v>5095.5449019577591</v>
      </c>
    </row>
    <row r="293" spans="1:9" ht="15.75" thickBot="1">
      <c r="A293" s="74">
        <v>2567</v>
      </c>
      <c r="B293" s="74">
        <v>41100</v>
      </c>
      <c r="C293" s="74" t="str">
        <f t="shared" si="8"/>
        <v>411</v>
      </c>
      <c r="D293" s="75" t="s">
        <v>194</v>
      </c>
      <c r="E293" s="75">
        <f>INDEX(group_data_final!D:D, MATCH(VALUE(C293), group_data_final!C:C, 0))</f>
        <v>566.44399999999996</v>
      </c>
      <c r="F293" s="74">
        <v>3214413</v>
      </c>
      <c r="G293" s="74">
        <v>2533583</v>
      </c>
      <c r="H293" s="74">
        <v>0.78819460969999999</v>
      </c>
      <c r="I293">
        <f t="shared" si="9"/>
        <v>4472.7863654659595</v>
      </c>
    </row>
    <row r="294" spans="1:9" ht="27" thickBot="1">
      <c r="A294" s="74">
        <v>2568</v>
      </c>
      <c r="B294" s="74">
        <v>63800</v>
      </c>
      <c r="C294" s="74" t="str">
        <f t="shared" si="8"/>
        <v>638</v>
      </c>
      <c r="D294" s="75" t="s">
        <v>228</v>
      </c>
      <c r="E294" s="75">
        <f>INDEX(group_data_final!D:D, MATCH(VALUE(C294), group_data_final!C:C, 0))</f>
        <v>762.71299999999997</v>
      </c>
      <c r="F294" s="74">
        <v>4642897</v>
      </c>
      <c r="G294" s="74">
        <v>2533302</v>
      </c>
      <c r="H294" s="74">
        <v>0.54562959290000002</v>
      </c>
      <c r="I294">
        <f t="shared" si="9"/>
        <v>3321.4354547516564</v>
      </c>
    </row>
    <row r="295" spans="1:9" ht="15.75" thickBot="1">
      <c r="A295" s="74">
        <v>2569</v>
      </c>
      <c r="B295" s="74">
        <v>33100</v>
      </c>
      <c r="C295" s="74" t="str">
        <f t="shared" si="8"/>
        <v>331</v>
      </c>
      <c r="D295" s="75" t="s">
        <v>265</v>
      </c>
      <c r="E295" s="75">
        <f>INDEX(group_data_final!D:D, MATCH(VALUE(C295), group_data_final!C:C, 0))</f>
        <v>536.827</v>
      </c>
      <c r="F295" s="74">
        <v>6171200</v>
      </c>
      <c r="G295" s="74">
        <v>2492828</v>
      </c>
      <c r="H295" s="74">
        <v>0.40394542389999999</v>
      </c>
      <c r="I295">
        <f t="shared" si="9"/>
        <v>4643.633796362702</v>
      </c>
    </row>
    <row r="296" spans="1:9" ht="15.75" thickBot="1">
      <c r="A296" s="74">
        <v>2569</v>
      </c>
      <c r="B296" s="74">
        <v>42100</v>
      </c>
      <c r="C296" s="74" t="str">
        <f t="shared" si="8"/>
        <v>421</v>
      </c>
      <c r="D296" s="75" t="s">
        <v>174</v>
      </c>
      <c r="E296" s="75">
        <f>INDEX(group_data_final!D:D, MATCH(VALUE(C296), group_data_final!C:C, 0))</f>
        <v>955.31600000000003</v>
      </c>
      <c r="F296" s="74">
        <v>3798705</v>
      </c>
      <c r="G296" s="74">
        <v>2229354</v>
      </c>
      <c r="H296" s="74">
        <v>0.58687210509999999</v>
      </c>
      <c r="I296">
        <f t="shared" si="9"/>
        <v>2333.629919314656</v>
      </c>
    </row>
    <row r="297" spans="1:9" ht="15.75" thickBot="1">
      <c r="A297" s="74">
        <v>2569</v>
      </c>
      <c r="B297" s="74">
        <v>41100</v>
      </c>
      <c r="C297" s="74" t="str">
        <f t="shared" si="8"/>
        <v>411</v>
      </c>
      <c r="D297" s="75" t="s">
        <v>194</v>
      </c>
      <c r="E297" s="75">
        <f>INDEX(group_data_final!D:D, MATCH(VALUE(C297), group_data_final!C:C, 0))</f>
        <v>566.44399999999996</v>
      </c>
      <c r="F297" s="74">
        <v>5000350</v>
      </c>
      <c r="G297" s="74">
        <v>2180831</v>
      </c>
      <c r="H297" s="74">
        <v>0.43613567050000002</v>
      </c>
      <c r="I297">
        <f t="shared" si="9"/>
        <v>3850.0381326309398</v>
      </c>
    </row>
    <row r="298" spans="1:9" ht="15.75" thickBot="1">
      <c r="A298" s="74">
        <v>2568</v>
      </c>
      <c r="B298" s="74">
        <v>31100</v>
      </c>
      <c r="C298" s="74" t="str">
        <f t="shared" si="8"/>
        <v>311</v>
      </c>
      <c r="D298" s="75" t="s">
        <v>214</v>
      </c>
      <c r="E298" s="75">
        <f>INDEX(group_data_final!D:D, MATCH(VALUE(C298), group_data_final!C:C, 0))</f>
        <v>718.5</v>
      </c>
      <c r="F298" s="74">
        <v>2590000</v>
      </c>
      <c r="G298" s="74">
        <v>2177500</v>
      </c>
      <c r="H298" s="74">
        <v>0.84073359069999998</v>
      </c>
      <c r="I298">
        <f t="shared" si="9"/>
        <v>3030.6193458594294</v>
      </c>
    </row>
    <row r="299" spans="1:9" ht="27" thickBot="1">
      <c r="A299" s="74">
        <v>2567</v>
      </c>
      <c r="B299" s="74">
        <v>31900</v>
      </c>
      <c r="C299" s="74" t="str">
        <f t="shared" si="8"/>
        <v>319</v>
      </c>
      <c r="D299" s="75" t="s">
        <v>272</v>
      </c>
      <c r="E299" s="75">
        <f>INDEX(group_data_final!D:D, MATCH(VALUE(C299), group_data_final!C:C, 0))</f>
        <v>512.75699999999995</v>
      </c>
      <c r="F299" s="74">
        <v>2403700</v>
      </c>
      <c r="G299" s="74">
        <v>2123712</v>
      </c>
      <c r="H299" s="74">
        <v>0.88351790990000001</v>
      </c>
      <c r="I299">
        <f t="shared" si="9"/>
        <v>4141.7513559054296</v>
      </c>
    </row>
    <row r="300" spans="1:9" ht="27" thickBot="1">
      <c r="A300" s="74">
        <v>2567</v>
      </c>
      <c r="B300" s="74">
        <v>41700</v>
      </c>
      <c r="C300" s="74" t="str">
        <f t="shared" si="8"/>
        <v>417</v>
      </c>
      <c r="D300" s="75" t="s">
        <v>176</v>
      </c>
      <c r="E300" s="75">
        <f>INDEX(group_data_final!D:D, MATCH(VALUE(C300), group_data_final!C:C, 0))</f>
        <v>744.57799999999997</v>
      </c>
      <c r="F300" s="74">
        <v>1683660</v>
      </c>
      <c r="G300" s="74">
        <v>2073800</v>
      </c>
      <c r="H300" s="74">
        <v>1.231721369</v>
      </c>
      <c r="I300">
        <f t="shared" si="9"/>
        <v>2785.2018190169465</v>
      </c>
    </row>
    <row r="301" spans="1:9" ht="15.75" thickBot="1">
      <c r="A301" s="74">
        <v>2567</v>
      </c>
      <c r="B301" s="74">
        <v>32400</v>
      </c>
      <c r="C301" s="74" t="str">
        <f t="shared" si="8"/>
        <v>324</v>
      </c>
      <c r="D301" s="75" t="s">
        <v>230</v>
      </c>
      <c r="E301" s="75">
        <f>INDEX(group_data_final!D:D, MATCH(VALUE(C301), group_data_final!C:C, 0))</f>
        <v>603.14099999999996</v>
      </c>
      <c r="F301" s="74">
        <v>3267200</v>
      </c>
      <c r="G301" s="74">
        <v>2021372</v>
      </c>
      <c r="H301" s="74">
        <v>0.61868633689999997</v>
      </c>
      <c r="I301">
        <f t="shared" si="9"/>
        <v>3351.4087087430635</v>
      </c>
    </row>
    <row r="302" spans="1:9" ht="15.75" thickBot="1">
      <c r="A302" s="74">
        <v>2569</v>
      </c>
      <c r="B302" s="74">
        <v>41900</v>
      </c>
      <c r="C302" s="74" t="str">
        <f t="shared" si="8"/>
        <v>419</v>
      </c>
      <c r="D302" s="75" t="s">
        <v>239</v>
      </c>
      <c r="E302" s="75">
        <f>INDEX(group_data_final!D:D, MATCH(VALUE(C302), group_data_final!C:C, 0))</f>
        <v>440.09199999999998</v>
      </c>
      <c r="F302" s="74">
        <v>1176750</v>
      </c>
      <c r="G302" s="74">
        <v>1876725</v>
      </c>
      <c r="H302" s="74">
        <v>1.5948374759999999</v>
      </c>
      <c r="I302">
        <f t="shared" si="9"/>
        <v>4264.3924452160009</v>
      </c>
    </row>
    <row r="303" spans="1:9" ht="15.75" thickBot="1">
      <c r="A303" s="74">
        <v>2569</v>
      </c>
      <c r="B303" s="74">
        <v>32400</v>
      </c>
      <c r="C303" s="74" t="str">
        <f t="shared" si="8"/>
        <v>324</v>
      </c>
      <c r="D303" s="75" t="s">
        <v>230</v>
      </c>
      <c r="E303" s="75">
        <f>INDEX(group_data_final!D:D, MATCH(VALUE(C303), group_data_final!C:C, 0))</f>
        <v>603.14099999999996</v>
      </c>
      <c r="F303" s="74">
        <v>5851572</v>
      </c>
      <c r="G303" s="74">
        <v>1852577</v>
      </c>
      <c r="H303" s="74">
        <v>0.31659475440000001</v>
      </c>
      <c r="I303">
        <f t="shared" si="9"/>
        <v>3071.5487754936244</v>
      </c>
    </row>
    <row r="304" spans="1:9" ht="15.75" thickBot="1">
      <c r="A304" s="74">
        <v>2569</v>
      </c>
      <c r="B304" s="74">
        <v>31100</v>
      </c>
      <c r="C304" s="74" t="str">
        <f t="shared" si="8"/>
        <v>311</v>
      </c>
      <c r="D304" s="75" t="s">
        <v>214</v>
      </c>
      <c r="E304" s="75">
        <f>INDEX(group_data_final!D:D, MATCH(VALUE(C304), group_data_final!C:C, 0))</f>
        <v>718.5</v>
      </c>
      <c r="F304" s="74">
        <v>3384792</v>
      </c>
      <c r="G304" s="74">
        <v>1795000</v>
      </c>
      <c r="H304" s="74">
        <v>0.53031323640000005</v>
      </c>
      <c r="I304">
        <f t="shared" si="9"/>
        <v>2498.2602644398053</v>
      </c>
    </row>
    <row r="305" spans="1:9" ht="15.75" thickBot="1">
      <c r="A305" s="74">
        <v>2567</v>
      </c>
      <c r="B305" s="74">
        <v>41900</v>
      </c>
      <c r="C305" s="74" t="str">
        <f t="shared" si="8"/>
        <v>419</v>
      </c>
      <c r="D305" s="75" t="s">
        <v>239</v>
      </c>
      <c r="E305" s="75">
        <f>INDEX(group_data_final!D:D, MATCH(VALUE(C305), group_data_final!C:C, 0))</f>
        <v>440.09199999999998</v>
      </c>
      <c r="F305" s="74">
        <v>3425000</v>
      </c>
      <c r="G305" s="74">
        <v>1712234</v>
      </c>
      <c r="H305" s="74">
        <v>0.49992233580000001</v>
      </c>
      <c r="I305">
        <f t="shared" si="9"/>
        <v>3890.6274142679258</v>
      </c>
    </row>
    <row r="306" spans="1:9" ht="15.75" thickBot="1">
      <c r="A306" s="74">
        <v>2567</v>
      </c>
      <c r="B306" s="74">
        <v>41800</v>
      </c>
      <c r="C306" s="74" t="str">
        <f t="shared" si="8"/>
        <v>418</v>
      </c>
      <c r="D306" s="75" t="s">
        <v>191</v>
      </c>
      <c r="E306" s="75">
        <f>INDEX(group_data_final!D:D, MATCH(VALUE(C306), group_data_final!C:C, 0))</f>
        <v>563.48900000000003</v>
      </c>
      <c r="F306" s="74">
        <v>2221278</v>
      </c>
      <c r="G306" s="74">
        <v>1652211</v>
      </c>
      <c r="H306" s="74">
        <v>0.74381099530000006</v>
      </c>
      <c r="I306">
        <f t="shared" si="9"/>
        <v>2932.1087013233619</v>
      </c>
    </row>
    <row r="307" spans="1:9" ht="27" thickBot="1">
      <c r="A307" s="74">
        <v>2569</v>
      </c>
      <c r="B307" s="74">
        <v>63600</v>
      </c>
      <c r="C307" s="74" t="str">
        <f t="shared" si="8"/>
        <v>636</v>
      </c>
      <c r="D307" s="75" t="s">
        <v>245</v>
      </c>
      <c r="E307" s="75">
        <f>INDEX(group_data_final!D:D, MATCH(VALUE(C307), group_data_final!C:C, 0))</f>
        <v>681.38300000000004</v>
      </c>
      <c r="F307" s="74">
        <v>2438500</v>
      </c>
      <c r="G307" s="74">
        <v>1597049</v>
      </c>
      <c r="H307" s="74">
        <v>0.65493090009999999</v>
      </c>
      <c r="I307">
        <f t="shared" si="9"/>
        <v>2343.8345247826846</v>
      </c>
    </row>
    <row r="308" spans="1:9" ht="27" thickBot="1">
      <c r="A308" s="74">
        <v>2568</v>
      </c>
      <c r="B308" s="74">
        <v>52700</v>
      </c>
      <c r="C308" s="74" t="str">
        <f t="shared" si="8"/>
        <v>527</v>
      </c>
      <c r="D308" s="75" t="s">
        <v>221</v>
      </c>
      <c r="E308" s="75">
        <f>INDEX(group_data_final!D:D, MATCH(VALUE(C308), group_data_final!C:C, 0))</f>
        <v>757.51199999999994</v>
      </c>
      <c r="F308" s="74">
        <v>1808026</v>
      </c>
      <c r="G308" s="74">
        <v>1192360</v>
      </c>
      <c r="H308" s="74">
        <v>0.65948166669999997</v>
      </c>
      <c r="I308">
        <f t="shared" si="9"/>
        <v>1574.0476718520631</v>
      </c>
    </row>
    <row r="309" spans="1:9" ht="15.75" thickBot="1">
      <c r="A309" s="74">
        <v>2569</v>
      </c>
      <c r="B309" s="74">
        <v>41800</v>
      </c>
      <c r="C309" s="74" t="str">
        <f t="shared" si="8"/>
        <v>418</v>
      </c>
      <c r="D309" s="75" t="s">
        <v>191</v>
      </c>
      <c r="E309" s="75">
        <f>INDEX(group_data_final!D:D, MATCH(VALUE(C309), group_data_final!C:C, 0))</f>
        <v>563.48900000000003</v>
      </c>
      <c r="F309" s="74">
        <v>841718</v>
      </c>
      <c r="G309" s="74">
        <v>1007638</v>
      </c>
      <c r="H309" s="74">
        <v>1.1971206510000001</v>
      </c>
      <c r="I309">
        <f t="shared" si="9"/>
        <v>1788.2123697179536</v>
      </c>
    </row>
    <row r="310" spans="1:9" ht="15.75" thickBot="1">
      <c r="A310" s="74">
        <v>2568</v>
      </c>
      <c r="B310" s="74">
        <v>41800</v>
      </c>
      <c r="C310" s="74" t="str">
        <f t="shared" si="8"/>
        <v>418</v>
      </c>
      <c r="D310" s="75" t="s">
        <v>191</v>
      </c>
      <c r="E310" s="75">
        <f>INDEX(group_data_final!D:D, MATCH(VALUE(C310), group_data_final!C:C, 0))</f>
        <v>563.48900000000003</v>
      </c>
      <c r="F310" s="74">
        <v>848774</v>
      </c>
      <c r="G310" s="74">
        <v>995691.7</v>
      </c>
      <c r="H310" s="74">
        <v>1.1730940160000001</v>
      </c>
      <c r="I310">
        <f t="shared" si="9"/>
        <v>1767.0117784020626</v>
      </c>
    </row>
    <row r="311" spans="1:9" ht="27" thickBot="1">
      <c r="A311" s="74">
        <v>2567</v>
      </c>
      <c r="B311" s="74">
        <v>52700</v>
      </c>
      <c r="C311" s="74" t="str">
        <f t="shared" si="8"/>
        <v>527</v>
      </c>
      <c r="D311" s="75" t="s">
        <v>221</v>
      </c>
      <c r="E311" s="75">
        <f>INDEX(group_data_final!D:D, MATCH(VALUE(C311), group_data_final!C:C, 0))</f>
        <v>757.51199999999994</v>
      </c>
      <c r="F311" s="74">
        <v>1404593</v>
      </c>
      <c r="G311" s="74">
        <v>967991.6</v>
      </c>
      <c r="H311" s="74">
        <v>0.689161629</v>
      </c>
      <c r="I311">
        <f t="shared" si="9"/>
        <v>1277.8564563993707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CA66-B59B-4EDE-A7F1-F55BB2084E49}">
  <dimension ref="A1:E105"/>
  <sheetViews>
    <sheetView workbookViewId="0">
      <selection activeCell="F2" sqref="F2"/>
    </sheetView>
  </sheetViews>
  <sheetFormatPr defaultRowHeight="15"/>
  <cols>
    <col min="2" max="3" width="14.7109375" customWidth="1"/>
    <col min="4" max="4" width="19.42578125" customWidth="1"/>
    <col min="5" max="5" width="25.28515625" customWidth="1"/>
  </cols>
  <sheetData>
    <row r="1" spans="1:5" ht="27" thickBot="1">
      <c r="A1" s="67" t="s">
        <v>276</v>
      </c>
      <c r="B1" s="67" t="s">
        <v>513</v>
      </c>
      <c r="C1" s="67" t="s">
        <v>520</v>
      </c>
      <c r="D1" s="68" t="s">
        <v>514</v>
      </c>
      <c r="E1" s="68" t="s">
        <v>515</v>
      </c>
    </row>
    <row r="2" spans="1:5" ht="27" thickTop="1">
      <c r="A2" s="69" t="s">
        <v>231</v>
      </c>
      <c r="B2" s="70">
        <v>32300</v>
      </c>
      <c r="C2" s="72" t="str">
        <f>LEFT(B2,3)</f>
        <v>323</v>
      </c>
      <c r="D2" s="71">
        <v>20573476</v>
      </c>
      <c r="E2" s="71">
        <v>57494570.990000002</v>
      </c>
    </row>
    <row r="3" spans="1:5" ht="39">
      <c r="A3" s="69" t="s">
        <v>194</v>
      </c>
      <c r="B3" s="70">
        <v>41100</v>
      </c>
      <c r="C3" s="72" t="str">
        <f t="shared" ref="C3:C66" si="0">LEFT(B3,3)</f>
        <v>411</v>
      </c>
      <c r="D3" s="71">
        <v>24198050.16</v>
      </c>
      <c r="E3" s="71">
        <v>103085423.8</v>
      </c>
    </row>
    <row r="4" spans="1:5" ht="39">
      <c r="A4" s="69" t="s">
        <v>177</v>
      </c>
      <c r="B4" s="70">
        <v>44400</v>
      </c>
      <c r="C4" s="72" t="str">
        <f t="shared" si="0"/>
        <v>444</v>
      </c>
      <c r="D4" s="71">
        <v>56319717.350000001</v>
      </c>
      <c r="E4" s="71">
        <v>82987253.560000002</v>
      </c>
    </row>
    <row r="5" spans="1:5" ht="39">
      <c r="A5" s="69" t="s">
        <v>189</v>
      </c>
      <c r="B5" s="70">
        <v>64700</v>
      </c>
      <c r="C5" s="72" t="str">
        <f t="shared" si="0"/>
        <v>647</v>
      </c>
      <c r="D5" s="71">
        <v>16076823.02</v>
      </c>
      <c r="E5" s="71">
        <v>71233999.099999994</v>
      </c>
    </row>
    <row r="6" spans="1:5" ht="51.75">
      <c r="A6" s="69" t="s">
        <v>196</v>
      </c>
      <c r="B6" s="70">
        <v>51700</v>
      </c>
      <c r="C6" s="72" t="str">
        <f t="shared" si="0"/>
        <v>517</v>
      </c>
      <c r="D6" s="71">
        <v>38452908.219999999</v>
      </c>
      <c r="E6" s="71">
        <v>72000998.640000001</v>
      </c>
    </row>
    <row r="7" spans="1:5" ht="51.75">
      <c r="A7" s="69" t="s">
        <v>242</v>
      </c>
      <c r="B7" s="70">
        <v>62100</v>
      </c>
      <c r="C7" s="72" t="str">
        <f t="shared" si="0"/>
        <v>621</v>
      </c>
      <c r="D7" s="71">
        <v>35219242</v>
      </c>
      <c r="E7" s="71">
        <v>58220999.240000002</v>
      </c>
    </row>
    <row r="8" spans="1:5" ht="64.5">
      <c r="A8" s="69" t="s">
        <v>280</v>
      </c>
      <c r="B8" s="70">
        <v>62700</v>
      </c>
      <c r="C8" s="72" t="str">
        <f t="shared" si="0"/>
        <v>627</v>
      </c>
      <c r="D8" s="71">
        <v>15992685.75</v>
      </c>
      <c r="E8" s="71">
        <v>50753001.189999998</v>
      </c>
    </row>
    <row r="9" spans="1:5" ht="64.5">
      <c r="A9" s="69" t="s">
        <v>281</v>
      </c>
      <c r="B9" s="70">
        <v>62800</v>
      </c>
      <c r="C9" s="72" t="str">
        <f t="shared" si="0"/>
        <v>628</v>
      </c>
      <c r="D9" s="71">
        <v>20146537</v>
      </c>
      <c r="E9" s="71">
        <v>50519998.609999999</v>
      </c>
    </row>
    <row r="10" spans="1:5" ht="39">
      <c r="A10" s="69" t="s">
        <v>217</v>
      </c>
      <c r="B10" s="70">
        <v>42300</v>
      </c>
      <c r="C10" s="72" t="str">
        <f t="shared" si="0"/>
        <v>423</v>
      </c>
      <c r="D10" s="71">
        <v>13871166.91</v>
      </c>
      <c r="E10" s="71">
        <v>49584986.549999997</v>
      </c>
    </row>
    <row r="11" spans="1:5" ht="39">
      <c r="A11" s="69" t="s">
        <v>174</v>
      </c>
      <c r="B11" s="70">
        <v>42100</v>
      </c>
      <c r="C11" s="72" t="str">
        <f t="shared" si="0"/>
        <v>421</v>
      </c>
      <c r="D11" s="71">
        <v>9306767.8200000003</v>
      </c>
      <c r="E11" s="71">
        <v>112348238</v>
      </c>
    </row>
    <row r="12" spans="1:5" ht="39">
      <c r="A12" s="69" t="s">
        <v>197</v>
      </c>
      <c r="B12" s="70">
        <v>42200</v>
      </c>
      <c r="C12" s="72" t="str">
        <f t="shared" si="0"/>
        <v>422</v>
      </c>
      <c r="D12" s="71">
        <v>17236877.359999999</v>
      </c>
      <c r="E12" s="71">
        <v>87161002.510000005</v>
      </c>
    </row>
    <row r="13" spans="1:5" ht="39">
      <c r="A13" s="69" t="s">
        <v>178</v>
      </c>
      <c r="B13" s="70">
        <v>42800</v>
      </c>
      <c r="C13" s="72" t="str">
        <f t="shared" si="0"/>
        <v>428</v>
      </c>
      <c r="D13" s="71">
        <v>47805316</v>
      </c>
      <c r="E13" s="71">
        <v>91312851.700000003</v>
      </c>
    </row>
    <row r="14" spans="1:5" ht="39">
      <c r="A14" s="69" t="s">
        <v>243</v>
      </c>
      <c r="B14" s="70">
        <v>44600</v>
      </c>
      <c r="C14" s="72" t="str">
        <f t="shared" si="0"/>
        <v>446</v>
      </c>
      <c r="D14" s="71">
        <v>46419930</v>
      </c>
      <c r="E14" s="71">
        <v>47734548.469999999</v>
      </c>
    </row>
    <row r="15" spans="1:5" ht="39">
      <c r="A15" s="69" t="s">
        <v>204</v>
      </c>
      <c r="B15" s="70">
        <v>62600</v>
      </c>
      <c r="C15" s="72" t="str">
        <f t="shared" si="0"/>
        <v>626</v>
      </c>
      <c r="D15" s="71">
        <v>22852169.210000001</v>
      </c>
      <c r="E15" s="71">
        <v>64747499.200000003</v>
      </c>
    </row>
    <row r="16" spans="1:5" ht="39">
      <c r="A16" s="69" t="s">
        <v>240</v>
      </c>
      <c r="B16" s="70">
        <v>33200</v>
      </c>
      <c r="C16" s="72" t="str">
        <f t="shared" si="0"/>
        <v>332</v>
      </c>
      <c r="D16" s="71">
        <v>26661755.600000001</v>
      </c>
      <c r="E16" s="71">
        <v>50143208.799999997</v>
      </c>
    </row>
    <row r="17" spans="1:5" ht="51.75">
      <c r="A17" s="69" t="s">
        <v>175</v>
      </c>
      <c r="B17" s="70">
        <v>53300</v>
      </c>
      <c r="C17" s="72" t="str">
        <f t="shared" si="0"/>
        <v>533</v>
      </c>
      <c r="D17" s="71">
        <v>49094616.020000003</v>
      </c>
      <c r="E17" s="71">
        <v>99768269.079999998</v>
      </c>
    </row>
    <row r="18" spans="1:5" ht="51.75">
      <c r="A18" s="69" t="s">
        <v>181</v>
      </c>
      <c r="B18" s="70">
        <v>53700</v>
      </c>
      <c r="C18" s="72" t="str">
        <f t="shared" si="0"/>
        <v>537</v>
      </c>
      <c r="D18" s="71">
        <v>35764703</v>
      </c>
      <c r="E18" s="71">
        <v>77922209.329999998</v>
      </c>
    </row>
    <row r="19" spans="1:5" ht="51.75">
      <c r="A19" s="69" t="s">
        <v>516</v>
      </c>
      <c r="B19" s="70">
        <v>52100</v>
      </c>
      <c r="C19" s="72" t="str">
        <f t="shared" si="0"/>
        <v>521</v>
      </c>
      <c r="D19" s="71">
        <v>17220342</v>
      </c>
      <c r="E19" s="71">
        <v>73800000.510000005</v>
      </c>
    </row>
    <row r="20" spans="1:5" ht="51.75">
      <c r="A20" s="69" t="s">
        <v>517</v>
      </c>
      <c r="B20" s="70">
        <v>52200</v>
      </c>
      <c r="C20" s="72" t="str">
        <f t="shared" si="0"/>
        <v>522</v>
      </c>
      <c r="D20" s="71">
        <v>43935646.859999999</v>
      </c>
      <c r="E20" s="71">
        <v>84131362.480000004</v>
      </c>
    </row>
    <row r="21" spans="1:5" ht="51.75">
      <c r="A21" s="69" t="s">
        <v>221</v>
      </c>
      <c r="B21" s="70">
        <v>52700</v>
      </c>
      <c r="C21" s="72" t="str">
        <f t="shared" si="0"/>
        <v>527</v>
      </c>
      <c r="D21" s="71">
        <v>2925773</v>
      </c>
      <c r="E21" s="71">
        <v>66311310</v>
      </c>
    </row>
    <row r="22" spans="1:5" ht="26.25">
      <c r="A22" s="69" t="s">
        <v>213</v>
      </c>
      <c r="B22" s="70">
        <v>32200</v>
      </c>
      <c r="C22" s="72" t="str">
        <f t="shared" si="0"/>
        <v>322</v>
      </c>
      <c r="D22" s="71">
        <v>14895309.58</v>
      </c>
      <c r="E22" s="71">
        <v>56436900.240000002</v>
      </c>
    </row>
    <row r="23" spans="1:5" ht="26.25">
      <c r="A23" s="69" t="s">
        <v>248</v>
      </c>
      <c r="B23" s="70">
        <v>42500</v>
      </c>
      <c r="C23" s="72" t="str">
        <f t="shared" si="0"/>
        <v>425</v>
      </c>
      <c r="D23" s="71">
        <v>18362201</v>
      </c>
      <c r="E23" s="71">
        <v>51391011.280000001</v>
      </c>
    </row>
    <row r="24" spans="1:5" ht="39">
      <c r="A24" s="69" t="s">
        <v>209</v>
      </c>
      <c r="B24" s="70">
        <v>51200</v>
      </c>
      <c r="C24" s="72" t="str">
        <f t="shared" si="0"/>
        <v>512</v>
      </c>
      <c r="D24" s="71">
        <v>23268968</v>
      </c>
      <c r="E24" s="71">
        <v>61660799.100000001</v>
      </c>
    </row>
    <row r="25" spans="1:5" ht="51.75">
      <c r="A25" s="69" t="s">
        <v>282</v>
      </c>
      <c r="B25" s="70">
        <v>51400</v>
      </c>
      <c r="C25" s="72" t="str">
        <f t="shared" si="0"/>
        <v>514</v>
      </c>
      <c r="D25" s="71">
        <v>28246563.100000001</v>
      </c>
      <c r="E25" s="71">
        <v>68587005.260000005</v>
      </c>
    </row>
    <row r="26" spans="1:5" ht="26.25">
      <c r="A26" s="69" t="s">
        <v>239</v>
      </c>
      <c r="B26" s="70">
        <v>41900</v>
      </c>
      <c r="C26" s="72" t="str">
        <f t="shared" si="0"/>
        <v>419</v>
      </c>
      <c r="D26" s="71">
        <v>17901066.350000001</v>
      </c>
      <c r="E26" s="71">
        <v>68051325.099999994</v>
      </c>
    </row>
    <row r="27" spans="1:5" ht="39">
      <c r="A27" s="69" t="s">
        <v>261</v>
      </c>
      <c r="B27" s="70">
        <v>41400</v>
      </c>
      <c r="C27" s="72" t="str">
        <f t="shared" si="0"/>
        <v>414</v>
      </c>
      <c r="D27" s="71">
        <v>22150559.68</v>
      </c>
      <c r="E27" s="71">
        <v>51665196.700000003</v>
      </c>
    </row>
    <row r="28" spans="1:5" ht="39">
      <c r="A28" s="69" t="s">
        <v>236</v>
      </c>
      <c r="B28" s="70">
        <v>33600</v>
      </c>
      <c r="C28" s="72" t="str">
        <f t="shared" si="0"/>
        <v>336</v>
      </c>
      <c r="D28" s="71">
        <v>7450616</v>
      </c>
      <c r="E28" s="71">
        <v>69489000.099999994</v>
      </c>
    </row>
    <row r="29" spans="1:5" ht="39">
      <c r="A29" s="69" t="s">
        <v>202</v>
      </c>
      <c r="B29" s="70">
        <v>64400</v>
      </c>
      <c r="C29" s="72" t="str">
        <f t="shared" si="0"/>
        <v>644</v>
      </c>
      <c r="D29" s="71">
        <v>94847495</v>
      </c>
      <c r="E29" s="71">
        <v>82499998.260000005</v>
      </c>
    </row>
    <row r="30" spans="1:5" ht="51.75">
      <c r="A30" s="69" t="s">
        <v>172</v>
      </c>
      <c r="B30" s="70">
        <v>61100</v>
      </c>
      <c r="C30" s="72" t="str">
        <f t="shared" si="0"/>
        <v>611</v>
      </c>
      <c r="D30" s="71">
        <v>17975960.899999999</v>
      </c>
      <c r="E30" s="71">
        <v>89283998.900000006</v>
      </c>
    </row>
    <row r="31" spans="1:5" ht="51.75">
      <c r="A31" s="69" t="s">
        <v>171</v>
      </c>
      <c r="B31" s="70">
        <v>61200</v>
      </c>
      <c r="C31" s="72" t="str">
        <f t="shared" si="0"/>
        <v>612</v>
      </c>
      <c r="D31" s="71">
        <v>26396681.800000001</v>
      </c>
      <c r="E31" s="71">
        <v>90750503.700000003</v>
      </c>
    </row>
    <row r="32" spans="1:5" ht="51.75">
      <c r="A32" s="69" t="s">
        <v>185</v>
      </c>
      <c r="B32" s="70">
        <v>61400</v>
      </c>
      <c r="C32" s="72" t="str">
        <f t="shared" si="0"/>
        <v>614</v>
      </c>
      <c r="D32" s="71">
        <v>39174819.990000002</v>
      </c>
      <c r="E32" s="71">
        <v>77119001.700000003</v>
      </c>
    </row>
    <row r="33" spans="1:5" ht="51.75">
      <c r="A33" s="69" t="s">
        <v>203</v>
      </c>
      <c r="B33" s="70">
        <v>32100</v>
      </c>
      <c r="C33" s="72" t="str">
        <f t="shared" si="0"/>
        <v>321</v>
      </c>
      <c r="D33" s="71">
        <v>44418991.719999999</v>
      </c>
      <c r="E33" s="71">
        <v>66019832.670000002</v>
      </c>
    </row>
    <row r="34" spans="1:5" ht="64.5">
      <c r="A34" s="69" t="s">
        <v>283</v>
      </c>
      <c r="B34" s="70">
        <v>32600</v>
      </c>
      <c r="C34" s="72" t="str">
        <f t="shared" si="0"/>
        <v>326</v>
      </c>
      <c r="D34" s="71">
        <v>38774837.789999999</v>
      </c>
      <c r="E34" s="71">
        <v>52870204.439999998</v>
      </c>
    </row>
    <row r="35" spans="1:5" ht="51.75">
      <c r="A35" s="69" t="s">
        <v>193</v>
      </c>
      <c r="B35" s="70">
        <v>43700</v>
      </c>
      <c r="C35" s="72" t="str">
        <f t="shared" si="0"/>
        <v>437</v>
      </c>
      <c r="D35" s="71">
        <v>24685294.829999998</v>
      </c>
      <c r="E35" s="71">
        <v>62162000.799999997</v>
      </c>
    </row>
    <row r="36" spans="1:5" ht="64.5">
      <c r="A36" s="69" t="s">
        <v>284</v>
      </c>
      <c r="B36" s="70">
        <v>43800</v>
      </c>
      <c r="C36" s="72" t="str">
        <f t="shared" si="0"/>
        <v>438</v>
      </c>
      <c r="D36" s="71">
        <v>18951930.5</v>
      </c>
      <c r="E36" s="71">
        <v>51967543.060000002</v>
      </c>
    </row>
    <row r="37" spans="1:5" ht="39">
      <c r="A37" s="69" t="s">
        <v>191</v>
      </c>
      <c r="B37" s="70">
        <v>41800</v>
      </c>
      <c r="C37" s="72" t="str">
        <f t="shared" si="0"/>
        <v>418</v>
      </c>
      <c r="D37" s="71">
        <v>3241211.73</v>
      </c>
      <c r="E37" s="71">
        <v>79404477.200000003</v>
      </c>
    </row>
    <row r="38" spans="1:5" ht="39">
      <c r="A38" s="69" t="s">
        <v>201</v>
      </c>
      <c r="B38" s="70">
        <v>31700</v>
      </c>
      <c r="C38" s="72" t="str">
        <f t="shared" si="0"/>
        <v>317</v>
      </c>
      <c r="D38" s="71">
        <v>21623707.629999999</v>
      </c>
      <c r="E38" s="71">
        <v>73118647.599999994</v>
      </c>
    </row>
    <row r="39" spans="1:5" ht="39">
      <c r="A39" s="69" t="s">
        <v>237</v>
      </c>
      <c r="B39" s="70">
        <v>53600</v>
      </c>
      <c r="C39" s="72" t="str">
        <f t="shared" si="0"/>
        <v>536</v>
      </c>
      <c r="D39" s="71">
        <v>24056530.640000001</v>
      </c>
      <c r="E39" s="71">
        <v>59482487.710000001</v>
      </c>
    </row>
    <row r="40" spans="1:5" ht="39">
      <c r="A40" s="69" t="s">
        <v>258</v>
      </c>
      <c r="B40" s="70">
        <v>53900</v>
      </c>
      <c r="C40" s="72" t="str">
        <f t="shared" si="0"/>
        <v>539</v>
      </c>
      <c r="D40" s="71">
        <v>15892650.960000001</v>
      </c>
      <c r="E40" s="71">
        <v>54410077.060000002</v>
      </c>
    </row>
    <row r="41" spans="1:5" ht="39">
      <c r="A41" s="69" t="s">
        <v>251</v>
      </c>
      <c r="B41" s="70">
        <v>64300</v>
      </c>
      <c r="C41" s="72" t="str">
        <f t="shared" si="0"/>
        <v>643</v>
      </c>
      <c r="D41" s="71">
        <v>10931073</v>
      </c>
      <c r="E41" s="71">
        <v>51276000.899999999</v>
      </c>
    </row>
    <row r="42" spans="1:5" ht="39">
      <c r="A42" s="69" t="s">
        <v>166</v>
      </c>
      <c r="B42" s="70">
        <v>61700</v>
      </c>
      <c r="C42" s="72" t="str">
        <f t="shared" si="0"/>
        <v>617</v>
      </c>
      <c r="D42" s="71">
        <v>21907259</v>
      </c>
      <c r="E42" s="71">
        <v>83033000.299999997</v>
      </c>
    </row>
    <row r="43" spans="1:5" ht="39">
      <c r="A43" s="69" t="s">
        <v>195</v>
      </c>
      <c r="B43" s="70">
        <v>41600</v>
      </c>
      <c r="C43" s="72" t="str">
        <f t="shared" si="0"/>
        <v>416</v>
      </c>
      <c r="D43" s="71">
        <v>23134918.710000001</v>
      </c>
      <c r="E43" s="71">
        <v>80796511.299999997</v>
      </c>
    </row>
    <row r="44" spans="1:5" ht="64.5">
      <c r="A44" s="69" t="s">
        <v>285</v>
      </c>
      <c r="B44" s="70">
        <v>33300</v>
      </c>
      <c r="C44" s="72" t="str">
        <f t="shared" si="0"/>
        <v>333</v>
      </c>
      <c r="D44" s="71">
        <v>44864899.299999997</v>
      </c>
      <c r="E44" s="71">
        <v>60508500.630000003</v>
      </c>
    </row>
    <row r="45" spans="1:5" ht="39">
      <c r="A45" s="69" t="s">
        <v>188</v>
      </c>
      <c r="B45" s="70">
        <v>61800</v>
      </c>
      <c r="C45" s="72" t="str">
        <f t="shared" si="0"/>
        <v>618</v>
      </c>
      <c r="D45" s="71">
        <v>9436328.3399999999</v>
      </c>
      <c r="E45" s="71">
        <v>80901999.540000007</v>
      </c>
    </row>
    <row r="46" spans="1:5" ht="39">
      <c r="A46" s="69" t="s">
        <v>271</v>
      </c>
      <c r="B46" s="70">
        <v>31300</v>
      </c>
      <c r="C46" s="72" t="str">
        <f t="shared" si="0"/>
        <v>313</v>
      </c>
      <c r="D46" s="71">
        <v>13052440.210000001</v>
      </c>
      <c r="E46" s="71">
        <v>44593496.130000003</v>
      </c>
    </row>
    <row r="47" spans="1:5" ht="39">
      <c r="A47" s="69" t="s">
        <v>223</v>
      </c>
      <c r="B47" s="70">
        <v>53500</v>
      </c>
      <c r="C47" s="72" t="str">
        <f t="shared" si="0"/>
        <v>535</v>
      </c>
      <c r="D47" s="71">
        <v>22849661</v>
      </c>
      <c r="E47" s="71">
        <v>51497000.549999997</v>
      </c>
    </row>
    <row r="48" spans="1:5" ht="26.25">
      <c r="A48" s="69" t="s">
        <v>247</v>
      </c>
      <c r="B48" s="70">
        <v>32700</v>
      </c>
      <c r="C48" s="72" t="str">
        <f t="shared" si="0"/>
        <v>327</v>
      </c>
      <c r="D48" s="71">
        <v>25981167</v>
      </c>
      <c r="E48" s="71">
        <v>50321969.700000003</v>
      </c>
    </row>
    <row r="49" spans="1:5" ht="39">
      <c r="A49" s="69" t="s">
        <v>260</v>
      </c>
      <c r="B49" s="70">
        <v>31400</v>
      </c>
      <c r="C49" s="72" t="str">
        <f t="shared" si="0"/>
        <v>314</v>
      </c>
      <c r="D49" s="71">
        <v>8096662</v>
      </c>
      <c r="E49" s="71">
        <v>46650393</v>
      </c>
    </row>
    <row r="50" spans="1:5" ht="39">
      <c r="A50" s="69" t="s">
        <v>219</v>
      </c>
      <c r="B50" s="70">
        <v>51900</v>
      </c>
      <c r="C50" s="72" t="str">
        <f t="shared" si="0"/>
        <v>519</v>
      </c>
      <c r="D50" s="71">
        <v>21647068.02</v>
      </c>
      <c r="E50" s="71">
        <v>63381999</v>
      </c>
    </row>
    <row r="51" spans="1:5" ht="51.75">
      <c r="A51" s="69" t="s">
        <v>215</v>
      </c>
      <c r="B51" s="70">
        <v>51100</v>
      </c>
      <c r="C51" s="72" t="str">
        <f t="shared" si="0"/>
        <v>511</v>
      </c>
      <c r="D51" s="71">
        <v>25873713.629999999</v>
      </c>
      <c r="E51" s="71">
        <v>62358839.990000002</v>
      </c>
    </row>
    <row r="52" spans="1:5" ht="64.5">
      <c r="A52" s="69" t="s">
        <v>286</v>
      </c>
      <c r="B52" s="70">
        <v>51500</v>
      </c>
      <c r="C52" s="72" t="str">
        <f t="shared" si="0"/>
        <v>515</v>
      </c>
      <c r="D52" s="71">
        <v>16304171.380000001</v>
      </c>
      <c r="E52" s="71">
        <v>58439003.579999998</v>
      </c>
    </row>
    <row r="53" spans="1:5" ht="39">
      <c r="A53" s="69" t="s">
        <v>226</v>
      </c>
      <c r="B53" s="70">
        <v>33800</v>
      </c>
      <c r="C53" s="72" t="str">
        <f t="shared" si="0"/>
        <v>338</v>
      </c>
      <c r="D53" s="71">
        <v>21915969</v>
      </c>
      <c r="E53" s="71">
        <v>66251998.299999997</v>
      </c>
    </row>
    <row r="54" spans="1:5" ht="51.75">
      <c r="A54" s="69" t="s">
        <v>184</v>
      </c>
      <c r="B54" s="70">
        <v>55100</v>
      </c>
      <c r="C54" s="72" t="str">
        <f t="shared" si="0"/>
        <v>551</v>
      </c>
      <c r="D54" s="71">
        <v>25892491.800000001</v>
      </c>
      <c r="E54" s="71">
        <v>80628294.900000006</v>
      </c>
    </row>
    <row r="55" spans="1:5" ht="64.5">
      <c r="A55" s="69" t="s">
        <v>278</v>
      </c>
      <c r="B55" s="70">
        <v>55200</v>
      </c>
      <c r="C55" s="72" t="str">
        <f t="shared" si="0"/>
        <v>552</v>
      </c>
      <c r="D55" s="71">
        <v>18861170</v>
      </c>
      <c r="E55" s="71">
        <v>52567998.5</v>
      </c>
    </row>
    <row r="56" spans="1:5" ht="26.25">
      <c r="A56" s="69" t="s">
        <v>199</v>
      </c>
      <c r="B56" s="70">
        <v>53100</v>
      </c>
      <c r="C56" s="72" t="str">
        <f t="shared" si="0"/>
        <v>531</v>
      </c>
      <c r="D56" s="71">
        <v>21938874.260000002</v>
      </c>
      <c r="E56" s="71">
        <v>63594911.090000004</v>
      </c>
    </row>
    <row r="57" spans="1:5" ht="26.25">
      <c r="A57" s="69" t="s">
        <v>230</v>
      </c>
      <c r="B57" s="70">
        <v>32400</v>
      </c>
      <c r="C57" s="72" t="str">
        <f t="shared" si="0"/>
        <v>324</v>
      </c>
      <c r="D57" s="71">
        <v>11000590</v>
      </c>
      <c r="E57" s="71">
        <v>53580350.200000003</v>
      </c>
    </row>
    <row r="58" spans="1:5" ht="51.75">
      <c r="A58" s="69" t="s">
        <v>192</v>
      </c>
      <c r="B58" s="70">
        <v>62200</v>
      </c>
      <c r="C58" s="72" t="str">
        <f t="shared" si="0"/>
        <v>622</v>
      </c>
      <c r="D58" s="71">
        <v>30530931.02</v>
      </c>
      <c r="E58" s="71">
        <v>64713998.399999999</v>
      </c>
    </row>
    <row r="59" spans="1:5" ht="39">
      <c r="A59" s="69" t="s">
        <v>229</v>
      </c>
      <c r="B59" s="70">
        <v>63900</v>
      </c>
      <c r="C59" s="72" t="str">
        <f t="shared" si="0"/>
        <v>639</v>
      </c>
      <c r="D59" s="71">
        <v>10792056</v>
      </c>
      <c r="E59" s="71">
        <v>69564999.599999994</v>
      </c>
    </row>
    <row r="60" spans="1:5" ht="51.75">
      <c r="A60" s="69" t="s">
        <v>257</v>
      </c>
      <c r="B60" s="70">
        <v>52600</v>
      </c>
      <c r="C60" s="72" t="str">
        <f t="shared" si="0"/>
        <v>526</v>
      </c>
      <c r="D60" s="71">
        <v>9142855</v>
      </c>
      <c r="E60" s="71">
        <v>45454026.799999997</v>
      </c>
    </row>
    <row r="61" spans="1:5" ht="39">
      <c r="A61" s="69" t="s">
        <v>232</v>
      </c>
      <c r="B61" s="70">
        <v>63300</v>
      </c>
      <c r="C61" s="72" t="str">
        <f t="shared" si="0"/>
        <v>633</v>
      </c>
      <c r="D61" s="71">
        <v>8114437.2000000002</v>
      </c>
      <c r="E61" s="71">
        <v>50166999.960000001</v>
      </c>
    </row>
    <row r="62" spans="1:5" ht="26.25">
      <c r="A62" s="69" t="s">
        <v>270</v>
      </c>
      <c r="B62" s="70">
        <v>31200</v>
      </c>
      <c r="C62" s="72" t="str">
        <f t="shared" si="0"/>
        <v>312</v>
      </c>
      <c r="D62" s="71">
        <v>4802893</v>
      </c>
      <c r="E62" s="71">
        <v>53144870</v>
      </c>
    </row>
    <row r="63" spans="1:5" ht="39">
      <c r="A63" s="69" t="s">
        <v>200</v>
      </c>
      <c r="B63" s="70">
        <v>63500</v>
      </c>
      <c r="C63" s="72" t="str">
        <f t="shared" si="0"/>
        <v>635</v>
      </c>
      <c r="D63" s="71">
        <v>16237561.5</v>
      </c>
      <c r="E63" s="71">
        <v>64559265.039999999</v>
      </c>
    </row>
    <row r="64" spans="1:5" ht="39">
      <c r="A64" s="69" t="s">
        <v>265</v>
      </c>
      <c r="B64" s="70">
        <v>33100</v>
      </c>
      <c r="C64" s="72" t="str">
        <f t="shared" si="0"/>
        <v>331</v>
      </c>
      <c r="D64" s="71">
        <v>10140437</v>
      </c>
      <c r="E64" s="71">
        <v>44010370.109999999</v>
      </c>
    </row>
    <row r="65" spans="1:5" ht="39">
      <c r="A65" s="69" t="s">
        <v>183</v>
      </c>
      <c r="B65" s="70">
        <v>42600</v>
      </c>
      <c r="C65" s="72" t="str">
        <f t="shared" si="0"/>
        <v>426</v>
      </c>
      <c r="D65" s="71">
        <v>29465698.710000001</v>
      </c>
      <c r="E65" s="71">
        <v>62647000.18</v>
      </c>
    </row>
    <row r="66" spans="1:5" ht="39">
      <c r="A66" s="69" t="s">
        <v>238</v>
      </c>
      <c r="B66" s="70">
        <v>33500</v>
      </c>
      <c r="C66" s="72" t="str">
        <f t="shared" si="0"/>
        <v>335</v>
      </c>
      <c r="D66" s="71">
        <v>15692770.6</v>
      </c>
      <c r="E66" s="71">
        <v>69708599.510000005</v>
      </c>
    </row>
    <row r="67" spans="1:5" ht="39">
      <c r="A67" s="69" t="s">
        <v>198</v>
      </c>
      <c r="B67" s="70">
        <v>43100</v>
      </c>
      <c r="C67" s="72" t="str">
        <f t="shared" ref="C67:C105" si="1">LEFT(B67,3)</f>
        <v>431</v>
      </c>
      <c r="D67" s="71">
        <v>15740359.6</v>
      </c>
      <c r="E67" s="71">
        <v>62672998.5</v>
      </c>
    </row>
    <row r="68" spans="1:5" ht="64.5">
      <c r="A68" s="69" t="s">
        <v>287</v>
      </c>
      <c r="B68" s="70">
        <v>43500</v>
      </c>
      <c r="C68" s="72" t="str">
        <f t="shared" si="1"/>
        <v>435</v>
      </c>
      <c r="D68" s="71">
        <v>20341909.600000001</v>
      </c>
      <c r="E68" s="71">
        <v>52579000.909999996</v>
      </c>
    </row>
    <row r="69" spans="1:5" ht="39">
      <c r="A69" s="69" t="s">
        <v>208</v>
      </c>
      <c r="B69" s="70">
        <v>52300</v>
      </c>
      <c r="C69" s="72" t="str">
        <f t="shared" si="1"/>
        <v>523</v>
      </c>
      <c r="D69" s="71">
        <v>22723883</v>
      </c>
      <c r="E69" s="71">
        <v>62241998.899999999</v>
      </c>
    </row>
    <row r="70" spans="1:5" ht="39">
      <c r="A70" s="69" t="s">
        <v>234</v>
      </c>
      <c r="B70" s="70">
        <v>52800</v>
      </c>
      <c r="C70" s="72" t="str">
        <f t="shared" si="1"/>
        <v>528</v>
      </c>
      <c r="D70" s="71">
        <v>15582254</v>
      </c>
      <c r="E70" s="71">
        <v>63942000.600000001</v>
      </c>
    </row>
    <row r="71" spans="1:5" ht="39">
      <c r="A71" s="69" t="s">
        <v>249</v>
      </c>
      <c r="B71" s="70">
        <v>52400</v>
      </c>
      <c r="C71" s="72" t="str">
        <f t="shared" si="1"/>
        <v>524</v>
      </c>
      <c r="D71" s="71">
        <v>11537730</v>
      </c>
      <c r="E71" s="71">
        <v>52670929.32</v>
      </c>
    </row>
    <row r="72" spans="1:5" ht="39">
      <c r="A72" s="69" t="s">
        <v>216</v>
      </c>
      <c r="B72" s="70">
        <v>55400</v>
      </c>
      <c r="C72" s="72" t="str">
        <f t="shared" si="1"/>
        <v>554</v>
      </c>
      <c r="D72" s="71">
        <v>19196889</v>
      </c>
      <c r="E72" s="71">
        <v>59030449.109999999</v>
      </c>
    </row>
    <row r="73" spans="1:5" ht="51.75">
      <c r="A73" s="69" t="s">
        <v>279</v>
      </c>
      <c r="B73" s="70">
        <v>55500</v>
      </c>
      <c r="C73" s="72" t="str">
        <f t="shared" si="1"/>
        <v>555</v>
      </c>
      <c r="D73" s="71">
        <v>27207523.800000001</v>
      </c>
      <c r="E73" s="71">
        <v>49652680.280000001</v>
      </c>
    </row>
    <row r="74" spans="1:5" ht="39">
      <c r="A74" s="69" t="s">
        <v>228</v>
      </c>
      <c r="B74" s="70">
        <v>63800</v>
      </c>
      <c r="C74" s="72" t="str">
        <f t="shared" si="1"/>
        <v>638</v>
      </c>
      <c r="D74" s="71">
        <v>8083728</v>
      </c>
      <c r="E74" s="71">
        <v>49057771.659999996</v>
      </c>
    </row>
    <row r="75" spans="1:5" ht="39">
      <c r="A75" s="69" t="s">
        <v>245</v>
      </c>
      <c r="B75" s="70">
        <v>63600</v>
      </c>
      <c r="C75" s="72" t="str">
        <f t="shared" si="1"/>
        <v>636</v>
      </c>
      <c r="D75" s="71">
        <v>10721782.49</v>
      </c>
      <c r="E75" s="71">
        <v>50045649.299999997</v>
      </c>
    </row>
    <row r="76" spans="1:5" ht="51.75">
      <c r="A76" s="69" t="s">
        <v>224</v>
      </c>
      <c r="B76" s="70">
        <v>64100</v>
      </c>
      <c r="C76" s="72" t="str">
        <f t="shared" si="1"/>
        <v>641</v>
      </c>
      <c r="D76" s="71">
        <v>13851183.5</v>
      </c>
      <c r="E76" s="71">
        <v>76326998.959999993</v>
      </c>
    </row>
    <row r="77" spans="1:5" ht="77.25">
      <c r="A77" s="69" t="s">
        <v>288</v>
      </c>
      <c r="B77" s="70">
        <v>64200</v>
      </c>
      <c r="C77" s="72" t="str">
        <f t="shared" si="1"/>
        <v>642</v>
      </c>
      <c r="D77" s="71">
        <v>13414190</v>
      </c>
      <c r="E77" s="71">
        <v>57139612.920000002</v>
      </c>
    </row>
    <row r="78" spans="1:5" ht="39">
      <c r="A78" s="69" t="s">
        <v>214</v>
      </c>
      <c r="B78" s="70">
        <v>31100</v>
      </c>
      <c r="C78" s="72" t="str">
        <f t="shared" si="1"/>
        <v>311</v>
      </c>
      <c r="D78" s="71">
        <v>4604279.46</v>
      </c>
      <c r="E78" s="71">
        <v>66100480</v>
      </c>
    </row>
    <row r="79" spans="1:5" ht="64.5">
      <c r="A79" s="69" t="s">
        <v>272</v>
      </c>
      <c r="B79" s="70">
        <v>31900</v>
      </c>
      <c r="C79" s="72" t="str">
        <f t="shared" si="1"/>
        <v>319</v>
      </c>
      <c r="D79" s="71">
        <v>8886123.0600000005</v>
      </c>
      <c r="E79" s="71">
        <v>45504091.899999999</v>
      </c>
    </row>
    <row r="80" spans="1:5" ht="26.25">
      <c r="A80" s="69" t="s">
        <v>268</v>
      </c>
      <c r="B80" s="70">
        <v>31800</v>
      </c>
      <c r="C80" s="72" t="str">
        <f t="shared" si="1"/>
        <v>318</v>
      </c>
      <c r="D80" s="71">
        <v>16635212</v>
      </c>
      <c r="E80" s="71">
        <v>43842500.280000001</v>
      </c>
    </row>
    <row r="81" spans="1:5" ht="51.75">
      <c r="A81" s="69" t="s">
        <v>176</v>
      </c>
      <c r="B81" s="70">
        <v>41700</v>
      </c>
      <c r="C81" s="72" t="str">
        <f t="shared" si="1"/>
        <v>417</v>
      </c>
      <c r="D81" s="71">
        <v>5433140</v>
      </c>
      <c r="E81" s="71">
        <v>88265760</v>
      </c>
    </row>
    <row r="82" spans="1:5" ht="51.75">
      <c r="A82" s="69" t="s">
        <v>263</v>
      </c>
      <c r="B82" s="70">
        <v>33700</v>
      </c>
      <c r="C82" s="72" t="str">
        <f t="shared" si="1"/>
        <v>337</v>
      </c>
      <c r="D82" s="71">
        <v>15085067.1</v>
      </c>
      <c r="E82" s="71">
        <v>54597000.299999997</v>
      </c>
    </row>
    <row r="83" spans="1:5" ht="51.75">
      <c r="A83" s="69" t="s">
        <v>210</v>
      </c>
      <c r="B83" s="70">
        <v>41500</v>
      </c>
      <c r="C83" s="72" t="str">
        <f t="shared" si="1"/>
        <v>415</v>
      </c>
      <c r="D83" s="71">
        <v>12149336</v>
      </c>
      <c r="E83" s="71">
        <v>92460001.379999995</v>
      </c>
    </row>
    <row r="84" spans="1:5" ht="64.5">
      <c r="A84" s="69" t="s">
        <v>289</v>
      </c>
      <c r="B84" s="70">
        <v>61900</v>
      </c>
      <c r="C84" s="72" t="str">
        <f t="shared" si="1"/>
        <v>619</v>
      </c>
      <c r="D84" s="71">
        <v>31239469.100000001</v>
      </c>
      <c r="E84" s="71">
        <v>69299000.040000007</v>
      </c>
    </row>
    <row r="85" spans="1:5" ht="39">
      <c r="A85" s="69" t="s">
        <v>173</v>
      </c>
      <c r="B85" s="70">
        <v>43200</v>
      </c>
      <c r="C85" s="72" t="str">
        <f t="shared" si="1"/>
        <v>432</v>
      </c>
      <c r="D85" s="71">
        <v>36501247.039999999</v>
      </c>
      <c r="E85" s="71">
        <v>87636973.599999994</v>
      </c>
    </row>
    <row r="86" spans="1:5" ht="39">
      <c r="A86" s="69" t="s">
        <v>259</v>
      </c>
      <c r="B86" s="70">
        <v>43300</v>
      </c>
      <c r="C86" s="72" t="str">
        <f t="shared" si="1"/>
        <v>433</v>
      </c>
      <c r="D86" s="71">
        <v>22397913</v>
      </c>
      <c r="E86" s="71">
        <v>48935000</v>
      </c>
    </row>
    <row r="87" spans="1:5" ht="39">
      <c r="A87" s="69" t="s">
        <v>187</v>
      </c>
      <c r="B87" s="70">
        <v>51300</v>
      </c>
      <c r="C87" s="72" t="str">
        <f t="shared" si="1"/>
        <v>513</v>
      </c>
      <c r="D87" s="71">
        <v>34308861</v>
      </c>
      <c r="E87" s="71">
        <v>71282772.780000001</v>
      </c>
    </row>
    <row r="88" spans="1:5" ht="51.75">
      <c r="A88" s="69" t="s">
        <v>190</v>
      </c>
      <c r="B88" s="70">
        <v>44100</v>
      </c>
      <c r="C88" s="72" t="str">
        <f t="shared" si="1"/>
        <v>441</v>
      </c>
      <c r="D88" s="71">
        <v>115835052</v>
      </c>
      <c r="E88" s="71">
        <v>73118750.299999997</v>
      </c>
    </row>
    <row r="89" spans="1:5" ht="64.5">
      <c r="A89" s="69" t="s">
        <v>290</v>
      </c>
      <c r="B89" s="70">
        <v>44500</v>
      </c>
      <c r="C89" s="72" t="str">
        <f t="shared" si="1"/>
        <v>445</v>
      </c>
      <c r="D89" s="71">
        <v>48262457.539999999</v>
      </c>
      <c r="E89" s="71">
        <v>80239000.299999997</v>
      </c>
    </row>
    <row r="90" spans="1:5" ht="77.25">
      <c r="A90" s="69" t="s">
        <v>518</v>
      </c>
      <c r="B90" s="70">
        <v>32800</v>
      </c>
      <c r="C90" s="72" t="str">
        <f t="shared" si="1"/>
        <v>328</v>
      </c>
      <c r="D90" s="71">
        <v>20132405.359999999</v>
      </c>
      <c r="E90" s="71">
        <v>57938698.479999997</v>
      </c>
    </row>
    <row r="91" spans="1:5" ht="64.5">
      <c r="A91" s="69" t="s">
        <v>293</v>
      </c>
      <c r="B91" s="70">
        <v>32900</v>
      </c>
      <c r="C91" s="72" t="str">
        <f t="shared" si="1"/>
        <v>329</v>
      </c>
      <c r="D91" s="71">
        <v>23887668.25</v>
      </c>
      <c r="E91" s="71">
        <v>60053375.899999999</v>
      </c>
    </row>
    <row r="92" spans="1:5" ht="64.5">
      <c r="A92" s="69" t="s">
        <v>519</v>
      </c>
      <c r="B92" s="70">
        <v>32500</v>
      </c>
      <c r="C92" s="72" t="str">
        <f t="shared" si="1"/>
        <v>325</v>
      </c>
      <c r="D92" s="71">
        <v>30781563.02</v>
      </c>
      <c r="E92" s="71">
        <v>68954632.150000006</v>
      </c>
    </row>
    <row r="93" spans="1:5" ht="39">
      <c r="A93" s="69" t="s">
        <v>169</v>
      </c>
      <c r="B93" s="70">
        <v>61500</v>
      </c>
      <c r="C93" s="72" t="str">
        <f t="shared" si="1"/>
        <v>615</v>
      </c>
      <c r="D93" s="71">
        <v>31476285.129999999</v>
      </c>
      <c r="E93" s="71">
        <v>75474872.099999994</v>
      </c>
    </row>
    <row r="94" spans="1:5" ht="39">
      <c r="A94" s="69" t="s">
        <v>241</v>
      </c>
      <c r="B94" s="70">
        <v>64600</v>
      </c>
      <c r="C94" s="72" t="str">
        <f t="shared" si="1"/>
        <v>646</v>
      </c>
      <c r="D94" s="71">
        <v>16316511</v>
      </c>
      <c r="E94" s="71">
        <v>61100998.799999997</v>
      </c>
    </row>
    <row r="95" spans="1:5" ht="51.75">
      <c r="A95" s="69" t="s">
        <v>264</v>
      </c>
      <c r="B95" s="70">
        <v>62900</v>
      </c>
      <c r="C95" s="72" t="str">
        <f t="shared" si="1"/>
        <v>629</v>
      </c>
      <c r="D95" s="71">
        <v>16720167.5</v>
      </c>
      <c r="E95" s="71">
        <v>57921300.899999999</v>
      </c>
    </row>
    <row r="96" spans="1:5" ht="39">
      <c r="A96" s="69" t="s">
        <v>179</v>
      </c>
      <c r="B96" s="70">
        <v>41300</v>
      </c>
      <c r="C96" s="72" t="str">
        <f t="shared" si="1"/>
        <v>413</v>
      </c>
      <c r="D96" s="71">
        <v>40211709</v>
      </c>
      <c r="E96" s="71">
        <v>89200098.269999996</v>
      </c>
    </row>
    <row r="97" spans="1:5" ht="39">
      <c r="A97" s="69" t="s">
        <v>252</v>
      </c>
      <c r="B97" s="70">
        <v>44800</v>
      </c>
      <c r="C97" s="72" t="str">
        <f t="shared" si="1"/>
        <v>448</v>
      </c>
      <c r="D97" s="71">
        <v>16859979.280000001</v>
      </c>
      <c r="E97" s="71">
        <v>50203001.299999997</v>
      </c>
    </row>
    <row r="98" spans="1:5" ht="51.75">
      <c r="A98" s="69" t="s">
        <v>222</v>
      </c>
      <c r="B98" s="70">
        <v>63400</v>
      </c>
      <c r="C98" s="72" t="str">
        <f t="shared" si="1"/>
        <v>634</v>
      </c>
      <c r="D98" s="71">
        <v>16130059</v>
      </c>
      <c r="E98" s="71">
        <v>56988001.600000001</v>
      </c>
    </row>
    <row r="99" spans="1:5" ht="51.75">
      <c r="A99" s="69" t="s">
        <v>235</v>
      </c>
      <c r="B99" s="70">
        <v>62300</v>
      </c>
      <c r="C99" s="72" t="str">
        <f t="shared" si="1"/>
        <v>623</v>
      </c>
      <c r="D99" s="71">
        <v>17347616.379999999</v>
      </c>
      <c r="E99" s="71">
        <v>88246000.599999994</v>
      </c>
    </row>
    <row r="100" spans="1:5" ht="64.5">
      <c r="A100" s="69" t="s">
        <v>294</v>
      </c>
      <c r="B100" s="70">
        <v>62400</v>
      </c>
      <c r="C100" s="72" t="str">
        <f t="shared" si="1"/>
        <v>624</v>
      </c>
      <c r="D100" s="71">
        <v>61274963.369999997</v>
      </c>
      <c r="E100" s="71">
        <v>49657999.659999996</v>
      </c>
    </row>
    <row r="101" spans="1:5" ht="51.75">
      <c r="A101" s="69" t="s">
        <v>266</v>
      </c>
      <c r="B101" s="70">
        <v>55700</v>
      </c>
      <c r="C101" s="72" t="str">
        <f t="shared" si="1"/>
        <v>557</v>
      </c>
      <c r="D101" s="71">
        <v>24252916.210000001</v>
      </c>
      <c r="E101" s="71">
        <v>41887954.369999997</v>
      </c>
    </row>
    <row r="102" spans="1:5" ht="51.75">
      <c r="A102" s="69" t="s">
        <v>267</v>
      </c>
      <c r="B102" s="70">
        <v>55800</v>
      </c>
      <c r="C102" s="72" t="str">
        <f t="shared" si="1"/>
        <v>558</v>
      </c>
      <c r="D102" s="71">
        <v>11182835</v>
      </c>
      <c r="E102" s="71">
        <v>45550501.359999999</v>
      </c>
    </row>
    <row r="103" spans="1:5" ht="39">
      <c r="A103" s="69" t="s">
        <v>269</v>
      </c>
      <c r="B103" s="70">
        <v>44700</v>
      </c>
      <c r="C103" s="72" t="str">
        <f t="shared" si="1"/>
        <v>447</v>
      </c>
      <c r="D103" s="71">
        <v>15897455.4</v>
      </c>
      <c r="E103" s="71">
        <v>43093749.130000003</v>
      </c>
    </row>
    <row r="104" spans="1:5" ht="51.75">
      <c r="A104" s="69" t="s">
        <v>246</v>
      </c>
      <c r="B104" s="70">
        <v>63100</v>
      </c>
      <c r="C104" s="72" t="str">
        <f t="shared" si="1"/>
        <v>631</v>
      </c>
      <c r="D104" s="71">
        <v>9945873</v>
      </c>
      <c r="E104" s="71">
        <v>47060469.310000002</v>
      </c>
    </row>
    <row r="105" spans="1:5" ht="51.75">
      <c r="A105" s="69" t="s">
        <v>250</v>
      </c>
      <c r="B105" s="70">
        <v>63200</v>
      </c>
      <c r="C105" s="72" t="str">
        <f t="shared" si="1"/>
        <v>632</v>
      </c>
      <c r="D105" s="71">
        <v>5580390.4299999997</v>
      </c>
      <c r="E105" s="71">
        <v>47047619.640000001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AD75-CF13-4830-91E0-0E2F035C8E85}">
  <dimension ref="A1:L105"/>
  <sheetViews>
    <sheetView workbookViewId="0">
      <selection activeCell="H2" sqref="H2"/>
    </sheetView>
  </sheetViews>
  <sheetFormatPr defaultRowHeight="15"/>
  <cols>
    <col min="2" max="2" width="43.5703125" customWidth="1"/>
    <col min="3" max="5" width="25.85546875" customWidth="1"/>
    <col min="6" max="7" width="18.85546875" customWidth="1"/>
    <col min="8" max="8" width="20.42578125" customWidth="1"/>
    <col min="11" max="11" width="16.7109375" customWidth="1"/>
  </cols>
  <sheetData>
    <row r="1" spans="1:12">
      <c r="A1" t="s">
        <v>159</v>
      </c>
      <c r="B1" t="s">
        <v>160</v>
      </c>
      <c r="C1" t="s">
        <v>161</v>
      </c>
      <c r="D1" t="s">
        <v>162</v>
      </c>
      <c r="E1" t="s">
        <v>32</v>
      </c>
      <c r="F1" t="s">
        <v>33</v>
      </c>
      <c r="G1" t="s">
        <v>163</v>
      </c>
      <c r="H1" t="s">
        <v>164</v>
      </c>
      <c r="K1" t="s">
        <v>165</v>
      </c>
      <c r="L1">
        <v>300000</v>
      </c>
    </row>
    <row r="2" spans="1:12" ht="24">
      <c r="A2" s="21">
        <v>617</v>
      </c>
      <c r="B2" s="21" t="s">
        <v>166</v>
      </c>
      <c r="C2" s="20">
        <v>3</v>
      </c>
      <c r="D2" s="20">
        <f>IF(TRIM(C2)="-","-",C2*$L$1)</f>
        <v>900000</v>
      </c>
      <c r="E2" s="20">
        <v>1</v>
      </c>
      <c r="F2" s="20">
        <f>IF(TRIM(E2)="-","-",E2*$L$2)</f>
        <v>300000</v>
      </c>
      <c r="G2" s="20" t="s">
        <v>167</v>
      </c>
      <c r="H2" s="21" t="str">
        <f>IF(TRIM(G2)="-","-",G2*$L$3)</f>
        <v>-</v>
      </c>
      <c r="K2" t="s">
        <v>168</v>
      </c>
      <c r="L2">
        <v>300000</v>
      </c>
    </row>
    <row r="3" spans="1:12" ht="24">
      <c r="A3" s="63">
        <v>615</v>
      </c>
      <c r="B3" s="15" t="s">
        <v>169</v>
      </c>
      <c r="C3" s="20" t="s">
        <v>167</v>
      </c>
      <c r="D3" s="20" t="str">
        <f t="shared" ref="D3:D66" si="0">IF(TRIM(C3)="-","-",C3*$L$1)</f>
        <v>-</v>
      </c>
      <c r="E3" s="20">
        <v>1</v>
      </c>
      <c r="F3" s="20">
        <f t="shared" ref="F3:F66" si="1">IF(TRIM(E3)="-","-",E3*$L$2)</f>
        <v>300000</v>
      </c>
      <c r="G3" s="20" t="s">
        <v>167</v>
      </c>
      <c r="H3" s="21" t="str">
        <f t="shared" ref="H3:H66" si="2">IF(TRIM(G3)="-","-",G3*$L$3)</f>
        <v>-</v>
      </c>
      <c r="K3" t="s">
        <v>170</v>
      </c>
      <c r="L3">
        <v>300000</v>
      </c>
    </row>
    <row r="4" spans="1:12" ht="24">
      <c r="A4" s="15">
        <v>612</v>
      </c>
      <c r="B4" s="15" t="s">
        <v>171</v>
      </c>
      <c r="C4" s="20" t="s">
        <v>167</v>
      </c>
      <c r="D4" s="20" t="str">
        <f t="shared" si="0"/>
        <v>-</v>
      </c>
      <c r="E4" s="20">
        <v>2</v>
      </c>
      <c r="F4" s="20">
        <f t="shared" si="1"/>
        <v>600000</v>
      </c>
      <c r="G4" s="20" t="s">
        <v>167</v>
      </c>
      <c r="H4" s="21" t="str">
        <f t="shared" si="2"/>
        <v>-</v>
      </c>
    </row>
    <row r="5" spans="1:12" ht="24">
      <c r="A5" s="15">
        <v>611</v>
      </c>
      <c r="B5" s="15" t="s">
        <v>172</v>
      </c>
      <c r="C5" s="20" t="s">
        <v>167</v>
      </c>
      <c r="D5" s="20" t="str">
        <f t="shared" si="0"/>
        <v>-</v>
      </c>
      <c r="E5" s="20">
        <v>4</v>
      </c>
      <c r="F5" s="20">
        <f t="shared" si="1"/>
        <v>1200000</v>
      </c>
      <c r="G5" s="20">
        <v>2</v>
      </c>
      <c r="H5" s="21">
        <f t="shared" si="2"/>
        <v>600000</v>
      </c>
    </row>
    <row r="6" spans="1:12" ht="24">
      <c r="A6" s="15">
        <v>432</v>
      </c>
      <c r="B6" s="15" t="s">
        <v>173</v>
      </c>
      <c r="C6" s="20" t="s">
        <v>167</v>
      </c>
      <c r="D6" s="20" t="str">
        <f t="shared" si="0"/>
        <v>-</v>
      </c>
      <c r="E6" s="20">
        <v>2</v>
      </c>
      <c r="F6" s="20">
        <f t="shared" si="1"/>
        <v>600000</v>
      </c>
      <c r="G6" s="20">
        <v>2</v>
      </c>
      <c r="H6" s="21">
        <f t="shared" si="2"/>
        <v>600000</v>
      </c>
    </row>
    <row r="7" spans="1:12" ht="24">
      <c r="A7" s="15">
        <v>421</v>
      </c>
      <c r="B7" s="15" t="s">
        <v>174</v>
      </c>
      <c r="C7" s="20" t="s">
        <v>167</v>
      </c>
      <c r="D7" s="20" t="str">
        <f t="shared" si="0"/>
        <v>-</v>
      </c>
      <c r="E7" s="20" t="s">
        <v>167</v>
      </c>
      <c r="F7" s="20" t="str">
        <f t="shared" si="1"/>
        <v>-</v>
      </c>
      <c r="G7" s="20">
        <v>1</v>
      </c>
      <c r="H7" s="21">
        <f t="shared" si="2"/>
        <v>300000</v>
      </c>
    </row>
    <row r="8" spans="1:12" ht="24">
      <c r="A8" s="33">
        <v>533</v>
      </c>
      <c r="B8" s="33" t="s">
        <v>175</v>
      </c>
      <c r="C8" s="20">
        <v>2</v>
      </c>
      <c r="D8" s="20">
        <f t="shared" si="0"/>
        <v>600000</v>
      </c>
      <c r="E8" s="20">
        <v>2</v>
      </c>
      <c r="F8" s="20">
        <f t="shared" si="1"/>
        <v>600000</v>
      </c>
      <c r="G8" s="20">
        <v>1</v>
      </c>
      <c r="H8" s="21">
        <f t="shared" si="2"/>
        <v>300000</v>
      </c>
    </row>
    <row r="9" spans="1:12" ht="24">
      <c r="A9" s="21">
        <v>417</v>
      </c>
      <c r="B9" s="21" t="s">
        <v>176</v>
      </c>
      <c r="C9" s="20" t="s">
        <v>167</v>
      </c>
      <c r="D9" s="20" t="str">
        <f t="shared" si="0"/>
        <v>-</v>
      </c>
      <c r="E9" s="20">
        <v>2</v>
      </c>
      <c r="F9" s="20">
        <f t="shared" si="1"/>
        <v>600000</v>
      </c>
      <c r="G9" s="20" t="s">
        <v>167</v>
      </c>
      <c r="H9" s="21" t="str">
        <f t="shared" si="2"/>
        <v>-</v>
      </c>
    </row>
    <row r="10" spans="1:12" ht="24">
      <c r="A10" s="15">
        <v>444</v>
      </c>
      <c r="B10" s="15" t="s">
        <v>177</v>
      </c>
      <c r="C10" s="20" t="s">
        <v>167</v>
      </c>
      <c r="D10" s="20" t="str">
        <f t="shared" si="0"/>
        <v>-</v>
      </c>
      <c r="E10" s="20" t="s">
        <v>167</v>
      </c>
      <c r="F10" s="20" t="str">
        <f t="shared" si="1"/>
        <v>-</v>
      </c>
      <c r="G10" s="20" t="s">
        <v>167</v>
      </c>
      <c r="H10" s="21" t="str">
        <f t="shared" si="2"/>
        <v>-</v>
      </c>
    </row>
    <row r="11" spans="1:12" ht="24">
      <c r="A11" s="15">
        <v>428</v>
      </c>
      <c r="B11" s="15" t="s">
        <v>178</v>
      </c>
      <c r="C11" s="20" t="s">
        <v>167</v>
      </c>
      <c r="D11" s="20" t="str">
        <f t="shared" si="0"/>
        <v>-</v>
      </c>
      <c r="E11" s="20">
        <v>1</v>
      </c>
      <c r="F11" s="20">
        <f t="shared" si="1"/>
        <v>300000</v>
      </c>
      <c r="G11" s="20" t="s">
        <v>167</v>
      </c>
      <c r="H11" s="21" t="str">
        <f t="shared" si="2"/>
        <v>-</v>
      </c>
    </row>
    <row r="12" spans="1:12" ht="24">
      <c r="A12" s="15">
        <v>413</v>
      </c>
      <c r="B12" s="15" t="s">
        <v>179</v>
      </c>
      <c r="C12" s="20">
        <v>1</v>
      </c>
      <c r="D12" s="20">
        <f t="shared" si="0"/>
        <v>300000</v>
      </c>
      <c r="E12" s="20" t="s">
        <v>167</v>
      </c>
      <c r="F12" s="20" t="str">
        <f t="shared" si="1"/>
        <v>-</v>
      </c>
      <c r="G12" s="20" t="s">
        <v>167</v>
      </c>
      <c r="H12" s="21" t="str">
        <f t="shared" si="2"/>
        <v>-</v>
      </c>
    </row>
    <row r="13" spans="1:12" ht="24">
      <c r="A13" s="15">
        <v>619</v>
      </c>
      <c r="B13" s="15" t="s">
        <v>180</v>
      </c>
      <c r="C13" s="20" t="s">
        <v>167</v>
      </c>
      <c r="D13" s="20" t="str">
        <f t="shared" si="0"/>
        <v>-</v>
      </c>
      <c r="E13" s="20">
        <v>1</v>
      </c>
      <c r="F13" s="20">
        <f t="shared" si="1"/>
        <v>300000</v>
      </c>
      <c r="G13" s="20">
        <v>1</v>
      </c>
      <c r="H13" s="21">
        <f t="shared" si="2"/>
        <v>300000</v>
      </c>
    </row>
    <row r="14" spans="1:12" ht="24">
      <c r="A14" s="33">
        <v>537</v>
      </c>
      <c r="B14" s="33" t="s">
        <v>181</v>
      </c>
      <c r="C14" s="20" t="s">
        <v>167</v>
      </c>
      <c r="D14" s="20" t="str">
        <f t="shared" si="0"/>
        <v>-</v>
      </c>
      <c r="E14" s="20">
        <v>2</v>
      </c>
      <c r="F14" s="20">
        <f t="shared" si="1"/>
        <v>600000</v>
      </c>
      <c r="G14" s="20" t="s">
        <v>167</v>
      </c>
      <c r="H14" s="21" t="str">
        <f t="shared" si="2"/>
        <v>-</v>
      </c>
    </row>
    <row r="15" spans="1:12" ht="24">
      <c r="A15" s="21">
        <v>445</v>
      </c>
      <c r="B15" s="21" t="s">
        <v>182</v>
      </c>
      <c r="C15" s="20" t="s">
        <v>167</v>
      </c>
      <c r="D15" s="20" t="str">
        <f t="shared" si="0"/>
        <v>-</v>
      </c>
      <c r="E15" s="20">
        <v>3</v>
      </c>
      <c r="F15" s="20">
        <f t="shared" si="1"/>
        <v>900000</v>
      </c>
      <c r="G15" s="20">
        <v>1</v>
      </c>
      <c r="H15" s="21">
        <f t="shared" si="2"/>
        <v>300000</v>
      </c>
    </row>
    <row r="16" spans="1:12" ht="24">
      <c r="A16" s="15">
        <v>426</v>
      </c>
      <c r="B16" s="15" t="s">
        <v>183</v>
      </c>
      <c r="C16" s="20" t="s">
        <v>167</v>
      </c>
      <c r="D16" s="20" t="str">
        <f t="shared" si="0"/>
        <v>-</v>
      </c>
      <c r="E16" s="20" t="s">
        <v>167</v>
      </c>
      <c r="F16" s="20" t="str">
        <f t="shared" si="1"/>
        <v>-</v>
      </c>
      <c r="G16" s="20" t="s">
        <v>167</v>
      </c>
      <c r="H16" s="21" t="str">
        <f t="shared" si="2"/>
        <v>-</v>
      </c>
    </row>
    <row r="17" spans="1:8" ht="24">
      <c r="A17" s="63">
        <v>551</v>
      </c>
      <c r="B17" s="15" t="s">
        <v>184</v>
      </c>
      <c r="C17" s="20" t="s">
        <v>167</v>
      </c>
      <c r="D17" s="20" t="str">
        <f t="shared" si="0"/>
        <v>-</v>
      </c>
      <c r="E17" s="20" t="s">
        <v>167</v>
      </c>
      <c r="F17" s="20" t="str">
        <f t="shared" si="1"/>
        <v>-</v>
      </c>
      <c r="G17" s="20" t="s">
        <v>167</v>
      </c>
      <c r="H17" s="21" t="str">
        <f t="shared" si="2"/>
        <v>-</v>
      </c>
    </row>
    <row r="18" spans="1:8" ht="24">
      <c r="A18" s="15">
        <v>614</v>
      </c>
      <c r="B18" s="15" t="s">
        <v>185</v>
      </c>
      <c r="C18" s="20">
        <v>2</v>
      </c>
      <c r="D18" s="20">
        <f t="shared" si="0"/>
        <v>600000</v>
      </c>
      <c r="E18" s="20">
        <v>3</v>
      </c>
      <c r="F18" s="20">
        <f t="shared" si="1"/>
        <v>900000</v>
      </c>
      <c r="G18" s="20">
        <v>3</v>
      </c>
      <c r="H18" s="21">
        <f t="shared" si="2"/>
        <v>900000</v>
      </c>
    </row>
    <row r="19" spans="1:8" ht="24">
      <c r="A19" s="15">
        <v>522</v>
      </c>
      <c r="B19" s="15" t="s">
        <v>186</v>
      </c>
      <c r="C19" s="20" t="s">
        <v>167</v>
      </c>
      <c r="D19" s="20" t="str">
        <f t="shared" si="0"/>
        <v>-</v>
      </c>
      <c r="E19" s="20">
        <v>1</v>
      </c>
      <c r="F19" s="20">
        <f t="shared" si="1"/>
        <v>300000</v>
      </c>
      <c r="G19" s="20" t="s">
        <v>167</v>
      </c>
      <c r="H19" s="21" t="str">
        <f t="shared" si="2"/>
        <v>-</v>
      </c>
    </row>
    <row r="20" spans="1:8" ht="24">
      <c r="A20" s="64">
        <v>513</v>
      </c>
      <c r="B20" s="33" t="s">
        <v>187</v>
      </c>
      <c r="C20" s="20" t="s">
        <v>167</v>
      </c>
      <c r="D20" s="20" t="str">
        <f t="shared" si="0"/>
        <v>-</v>
      </c>
      <c r="E20" s="20" t="s">
        <v>167</v>
      </c>
      <c r="F20" s="20" t="str">
        <f t="shared" si="1"/>
        <v>-</v>
      </c>
      <c r="G20" s="20">
        <v>1</v>
      </c>
      <c r="H20" s="21">
        <f t="shared" si="2"/>
        <v>300000</v>
      </c>
    </row>
    <row r="21" spans="1:8" ht="24">
      <c r="A21" s="21">
        <v>618</v>
      </c>
      <c r="B21" s="21" t="s">
        <v>188</v>
      </c>
      <c r="C21" s="20" t="s">
        <v>167</v>
      </c>
      <c r="D21" s="20" t="str">
        <f t="shared" si="0"/>
        <v>-</v>
      </c>
      <c r="E21" s="20">
        <v>2</v>
      </c>
      <c r="F21" s="20">
        <f t="shared" si="1"/>
        <v>600000</v>
      </c>
      <c r="G21" s="20">
        <v>4</v>
      </c>
      <c r="H21" s="21">
        <f t="shared" si="2"/>
        <v>1200000</v>
      </c>
    </row>
    <row r="22" spans="1:8" ht="24">
      <c r="A22" s="63">
        <v>647</v>
      </c>
      <c r="B22" s="15" t="s">
        <v>189</v>
      </c>
      <c r="C22" s="20" t="s">
        <v>167</v>
      </c>
      <c r="D22" s="20" t="str">
        <f t="shared" si="0"/>
        <v>-</v>
      </c>
      <c r="E22" s="20" t="s">
        <v>167</v>
      </c>
      <c r="F22" s="20" t="str">
        <f t="shared" si="1"/>
        <v>-</v>
      </c>
      <c r="G22" s="20" t="s">
        <v>167</v>
      </c>
      <c r="H22" s="21" t="str">
        <f t="shared" si="2"/>
        <v>-</v>
      </c>
    </row>
    <row r="23" spans="1:8" ht="24">
      <c r="A23" s="15">
        <v>441</v>
      </c>
      <c r="B23" s="15" t="s">
        <v>190</v>
      </c>
      <c r="C23" s="20" t="s">
        <v>167</v>
      </c>
      <c r="D23" s="20" t="str">
        <f t="shared" si="0"/>
        <v>-</v>
      </c>
      <c r="E23" s="20" t="s">
        <v>167</v>
      </c>
      <c r="F23" s="20" t="str">
        <f t="shared" si="1"/>
        <v>-</v>
      </c>
      <c r="G23" s="20" t="s">
        <v>167</v>
      </c>
      <c r="H23" s="21" t="str">
        <f t="shared" si="2"/>
        <v>-</v>
      </c>
    </row>
    <row r="24" spans="1:8" ht="24">
      <c r="A24" s="33">
        <v>418</v>
      </c>
      <c r="B24" s="33" t="s">
        <v>191</v>
      </c>
      <c r="C24" s="20" t="s">
        <v>167</v>
      </c>
      <c r="D24" s="20" t="str">
        <f t="shared" si="0"/>
        <v>-</v>
      </c>
      <c r="E24" s="20">
        <v>3</v>
      </c>
      <c r="F24" s="20">
        <f t="shared" si="1"/>
        <v>900000</v>
      </c>
      <c r="G24" s="20">
        <v>6</v>
      </c>
      <c r="H24" s="21">
        <f t="shared" si="2"/>
        <v>1800000</v>
      </c>
    </row>
    <row r="25" spans="1:8" ht="24">
      <c r="A25" s="65">
        <v>622</v>
      </c>
      <c r="B25" s="21" t="s">
        <v>192</v>
      </c>
      <c r="C25" s="20">
        <v>1</v>
      </c>
      <c r="D25" s="20">
        <f t="shared" si="0"/>
        <v>300000</v>
      </c>
      <c r="E25" s="20">
        <v>2</v>
      </c>
      <c r="F25" s="20">
        <f t="shared" si="1"/>
        <v>600000</v>
      </c>
      <c r="G25" s="20">
        <v>1</v>
      </c>
      <c r="H25" s="21">
        <f t="shared" si="2"/>
        <v>300000</v>
      </c>
    </row>
    <row r="26" spans="1:8" ht="24">
      <c r="A26" s="15">
        <v>437</v>
      </c>
      <c r="B26" s="15" t="s">
        <v>193</v>
      </c>
      <c r="C26" s="20" t="s">
        <v>167</v>
      </c>
      <c r="D26" s="20" t="str">
        <f t="shared" si="0"/>
        <v>-</v>
      </c>
      <c r="E26" s="20" t="s">
        <v>167</v>
      </c>
      <c r="F26" s="20" t="str">
        <f t="shared" si="1"/>
        <v>-</v>
      </c>
      <c r="G26" s="20">
        <v>3</v>
      </c>
      <c r="H26" s="21">
        <f t="shared" si="2"/>
        <v>900000</v>
      </c>
    </row>
    <row r="27" spans="1:8" ht="24">
      <c r="A27" s="15">
        <v>411</v>
      </c>
      <c r="B27" s="15" t="s">
        <v>194</v>
      </c>
      <c r="C27" s="20" t="s">
        <v>167</v>
      </c>
      <c r="D27" s="20" t="str">
        <f t="shared" si="0"/>
        <v>-</v>
      </c>
      <c r="E27" s="20" t="s">
        <v>167</v>
      </c>
      <c r="F27" s="20" t="str">
        <f t="shared" si="1"/>
        <v>-</v>
      </c>
      <c r="G27" s="20" t="s">
        <v>167</v>
      </c>
      <c r="H27" s="21" t="str">
        <f t="shared" si="2"/>
        <v>-</v>
      </c>
    </row>
    <row r="28" spans="1:8" ht="24">
      <c r="A28" s="15">
        <v>416</v>
      </c>
      <c r="B28" s="15" t="s">
        <v>195</v>
      </c>
      <c r="C28" s="20" t="s">
        <v>167</v>
      </c>
      <c r="D28" s="20" t="str">
        <f t="shared" si="0"/>
        <v>-</v>
      </c>
      <c r="E28" s="20">
        <v>2</v>
      </c>
      <c r="F28" s="20">
        <f t="shared" si="1"/>
        <v>600000</v>
      </c>
      <c r="G28" s="20">
        <v>3</v>
      </c>
      <c r="H28" s="21">
        <f t="shared" si="2"/>
        <v>900000</v>
      </c>
    </row>
    <row r="29" spans="1:8" ht="24">
      <c r="A29" s="64">
        <v>517</v>
      </c>
      <c r="B29" s="33" t="s">
        <v>196</v>
      </c>
      <c r="C29" s="20" t="s">
        <v>167</v>
      </c>
      <c r="D29" s="20" t="str">
        <f t="shared" si="0"/>
        <v>-</v>
      </c>
      <c r="E29" s="20">
        <v>1</v>
      </c>
      <c r="F29" s="20">
        <f t="shared" si="1"/>
        <v>300000</v>
      </c>
      <c r="G29" s="20" t="s">
        <v>167</v>
      </c>
      <c r="H29" s="21" t="str">
        <f t="shared" si="2"/>
        <v>-</v>
      </c>
    </row>
    <row r="30" spans="1:8" ht="24">
      <c r="A30" s="21">
        <v>422</v>
      </c>
      <c r="B30" s="21" t="s">
        <v>197</v>
      </c>
      <c r="C30" s="20">
        <v>1</v>
      </c>
      <c r="D30" s="20">
        <f t="shared" si="0"/>
        <v>300000</v>
      </c>
      <c r="E30" s="20">
        <v>3</v>
      </c>
      <c r="F30" s="20">
        <f t="shared" si="1"/>
        <v>900000</v>
      </c>
      <c r="G30" s="20">
        <v>2</v>
      </c>
      <c r="H30" s="21">
        <f t="shared" si="2"/>
        <v>600000</v>
      </c>
    </row>
    <row r="31" spans="1:8" ht="24">
      <c r="A31" s="15">
        <v>431</v>
      </c>
      <c r="B31" s="15" t="s">
        <v>198</v>
      </c>
      <c r="C31" s="20">
        <v>1</v>
      </c>
      <c r="D31" s="20">
        <f t="shared" si="0"/>
        <v>300000</v>
      </c>
      <c r="E31" s="20">
        <v>2</v>
      </c>
      <c r="F31" s="20">
        <f t="shared" si="1"/>
        <v>600000</v>
      </c>
      <c r="G31" s="20">
        <v>2</v>
      </c>
      <c r="H31" s="21">
        <f t="shared" si="2"/>
        <v>600000</v>
      </c>
    </row>
    <row r="32" spans="1:8" ht="24">
      <c r="A32" s="15">
        <v>531</v>
      </c>
      <c r="B32" s="15" t="s">
        <v>199</v>
      </c>
      <c r="C32" s="20" t="s">
        <v>167</v>
      </c>
      <c r="D32" s="20" t="str">
        <f t="shared" si="0"/>
        <v>-</v>
      </c>
      <c r="E32" s="20" t="s">
        <v>167</v>
      </c>
      <c r="F32" s="20" t="str">
        <f t="shared" si="1"/>
        <v>-</v>
      </c>
      <c r="G32" s="20" t="s">
        <v>167</v>
      </c>
      <c r="H32" s="21" t="str">
        <f t="shared" si="2"/>
        <v>-</v>
      </c>
    </row>
    <row r="33" spans="1:8" ht="24">
      <c r="A33" s="63">
        <v>635</v>
      </c>
      <c r="B33" s="15" t="s">
        <v>200</v>
      </c>
      <c r="C33" s="20" t="s">
        <v>167</v>
      </c>
      <c r="D33" s="20" t="str">
        <f t="shared" si="0"/>
        <v>-</v>
      </c>
      <c r="E33" s="20" t="s">
        <v>167</v>
      </c>
      <c r="F33" s="20" t="str">
        <f t="shared" si="1"/>
        <v>-</v>
      </c>
      <c r="G33" s="20" t="s">
        <v>167</v>
      </c>
      <c r="H33" s="21" t="str">
        <f t="shared" si="2"/>
        <v>-</v>
      </c>
    </row>
    <row r="34" spans="1:8" ht="24">
      <c r="A34" s="33">
        <v>317</v>
      </c>
      <c r="B34" s="33" t="s">
        <v>201</v>
      </c>
      <c r="C34" s="20" t="s">
        <v>167</v>
      </c>
      <c r="D34" s="20" t="str">
        <f t="shared" si="0"/>
        <v>-</v>
      </c>
      <c r="E34" s="20" t="s">
        <v>167</v>
      </c>
      <c r="F34" s="20" t="str">
        <f t="shared" si="1"/>
        <v>-</v>
      </c>
      <c r="G34" s="20" t="s">
        <v>167</v>
      </c>
      <c r="H34" s="21" t="str">
        <f t="shared" si="2"/>
        <v>-</v>
      </c>
    </row>
    <row r="35" spans="1:8" ht="24">
      <c r="A35" s="65">
        <v>644</v>
      </c>
      <c r="B35" s="21" t="s">
        <v>202</v>
      </c>
      <c r="C35" s="20" t="s">
        <v>167</v>
      </c>
      <c r="D35" s="20" t="str">
        <f t="shared" si="0"/>
        <v>-</v>
      </c>
      <c r="E35" s="20" t="s">
        <v>167</v>
      </c>
      <c r="F35" s="20" t="str">
        <f t="shared" si="1"/>
        <v>-</v>
      </c>
      <c r="G35" s="20">
        <v>2</v>
      </c>
      <c r="H35" s="21">
        <f t="shared" si="2"/>
        <v>600000</v>
      </c>
    </row>
    <row r="36" spans="1:8" ht="24">
      <c r="A36" s="63">
        <v>321</v>
      </c>
      <c r="B36" s="15" t="s">
        <v>203</v>
      </c>
      <c r="C36" s="20">
        <v>1</v>
      </c>
      <c r="D36" s="20">
        <f t="shared" si="0"/>
        <v>300000</v>
      </c>
      <c r="E36" s="20">
        <v>3</v>
      </c>
      <c r="F36" s="20">
        <f t="shared" si="1"/>
        <v>900000</v>
      </c>
      <c r="G36" s="20" t="s">
        <v>167</v>
      </c>
      <c r="H36" s="21" t="str">
        <f t="shared" si="2"/>
        <v>-</v>
      </c>
    </row>
    <row r="37" spans="1:8" ht="24">
      <c r="A37" s="15">
        <v>626</v>
      </c>
      <c r="B37" s="15" t="s">
        <v>204</v>
      </c>
      <c r="C37" s="20" t="s">
        <v>167</v>
      </c>
      <c r="D37" s="20" t="str">
        <f t="shared" si="0"/>
        <v>-</v>
      </c>
      <c r="E37" s="20" t="s">
        <v>167</v>
      </c>
      <c r="F37" s="20" t="str">
        <f t="shared" si="1"/>
        <v>-</v>
      </c>
      <c r="G37" s="20" t="s">
        <v>167</v>
      </c>
      <c r="H37" s="21" t="str">
        <f t="shared" si="2"/>
        <v>-</v>
      </c>
    </row>
    <row r="38" spans="1:8" ht="24">
      <c r="A38" s="63">
        <v>325</v>
      </c>
      <c r="B38" s="15" t="s">
        <v>205</v>
      </c>
      <c r="C38" s="20">
        <v>2</v>
      </c>
      <c r="D38" s="20">
        <f t="shared" si="0"/>
        <v>600000</v>
      </c>
      <c r="E38" s="20" t="s">
        <v>167</v>
      </c>
      <c r="F38" s="20" t="str">
        <f t="shared" si="1"/>
        <v>-</v>
      </c>
      <c r="G38" s="20" t="s">
        <v>167</v>
      </c>
      <c r="H38" s="21" t="str">
        <f t="shared" si="2"/>
        <v>-</v>
      </c>
    </row>
    <row r="39" spans="1:8" ht="24">
      <c r="A39" s="63">
        <v>515</v>
      </c>
      <c r="B39" s="15" t="s">
        <v>206</v>
      </c>
      <c r="C39" s="20" t="s">
        <v>167</v>
      </c>
      <c r="D39" s="20" t="str">
        <f t="shared" si="0"/>
        <v>-</v>
      </c>
      <c r="E39" s="20">
        <v>1</v>
      </c>
      <c r="F39" s="20">
        <f t="shared" si="1"/>
        <v>300000</v>
      </c>
      <c r="G39" s="20" t="s">
        <v>167</v>
      </c>
      <c r="H39" s="21" t="str">
        <f t="shared" si="2"/>
        <v>-</v>
      </c>
    </row>
    <row r="40" spans="1:8" ht="24">
      <c r="A40" s="64">
        <v>514</v>
      </c>
      <c r="B40" s="33" t="s">
        <v>207</v>
      </c>
      <c r="C40" s="20" t="s">
        <v>167</v>
      </c>
      <c r="D40" s="20" t="str">
        <f t="shared" si="0"/>
        <v>-</v>
      </c>
      <c r="E40" s="20" t="s">
        <v>167</v>
      </c>
      <c r="F40" s="20" t="str">
        <f t="shared" si="1"/>
        <v>-</v>
      </c>
      <c r="G40" s="20">
        <v>2</v>
      </c>
      <c r="H40" s="21">
        <f t="shared" si="2"/>
        <v>600000</v>
      </c>
    </row>
    <row r="41" spans="1:8" ht="24">
      <c r="A41" s="21">
        <v>523</v>
      </c>
      <c r="B41" s="21" t="s">
        <v>208</v>
      </c>
      <c r="C41" s="20" t="s">
        <v>167</v>
      </c>
      <c r="D41" s="20" t="str">
        <f t="shared" si="0"/>
        <v>-</v>
      </c>
      <c r="E41" s="20">
        <v>3</v>
      </c>
      <c r="F41" s="20">
        <f t="shared" si="1"/>
        <v>900000</v>
      </c>
      <c r="G41" s="20">
        <v>1</v>
      </c>
      <c r="H41" s="21">
        <f t="shared" si="2"/>
        <v>300000</v>
      </c>
    </row>
    <row r="42" spans="1:8" ht="24">
      <c r="A42" s="63">
        <v>512</v>
      </c>
      <c r="B42" s="15" t="s">
        <v>209</v>
      </c>
      <c r="C42" s="20" t="s">
        <v>167</v>
      </c>
      <c r="D42" s="20" t="str">
        <f t="shared" si="0"/>
        <v>-</v>
      </c>
      <c r="E42" s="20" t="s">
        <v>167</v>
      </c>
      <c r="F42" s="20" t="str">
        <f t="shared" si="1"/>
        <v>-</v>
      </c>
      <c r="G42" s="20">
        <v>2</v>
      </c>
      <c r="H42" s="21">
        <f t="shared" si="2"/>
        <v>600000</v>
      </c>
    </row>
    <row r="43" spans="1:8" ht="24">
      <c r="A43" s="15">
        <v>415</v>
      </c>
      <c r="B43" s="15" t="s">
        <v>210</v>
      </c>
      <c r="C43" s="20" t="s">
        <v>167</v>
      </c>
      <c r="D43" s="20" t="str">
        <f t="shared" si="0"/>
        <v>-</v>
      </c>
      <c r="E43" s="20" t="s">
        <v>167</v>
      </c>
      <c r="F43" s="20" t="str">
        <f t="shared" si="1"/>
        <v>-</v>
      </c>
      <c r="G43" s="20">
        <v>1</v>
      </c>
      <c r="H43" s="21">
        <f t="shared" si="2"/>
        <v>300000</v>
      </c>
    </row>
    <row r="44" spans="1:8" ht="24">
      <c r="A44" s="64">
        <v>326</v>
      </c>
      <c r="B44" s="33" t="s">
        <v>211</v>
      </c>
      <c r="C44" s="20" t="s">
        <v>167</v>
      </c>
      <c r="D44" s="20" t="str">
        <f t="shared" si="0"/>
        <v>-</v>
      </c>
      <c r="E44" s="20">
        <v>1</v>
      </c>
      <c r="F44" s="20">
        <f t="shared" si="1"/>
        <v>300000</v>
      </c>
      <c r="G44" s="20">
        <v>2</v>
      </c>
      <c r="H44" s="21">
        <f t="shared" si="2"/>
        <v>600000</v>
      </c>
    </row>
    <row r="45" spans="1:8" ht="24">
      <c r="A45" s="21">
        <v>438</v>
      </c>
      <c r="B45" s="21" t="s">
        <v>212</v>
      </c>
      <c r="C45" s="20" t="s">
        <v>167</v>
      </c>
      <c r="D45" s="20" t="str">
        <f t="shared" si="0"/>
        <v>-</v>
      </c>
      <c r="E45" s="20">
        <v>1</v>
      </c>
      <c r="F45" s="20">
        <f t="shared" si="1"/>
        <v>300000</v>
      </c>
      <c r="G45" s="20">
        <v>1</v>
      </c>
      <c r="H45" s="21">
        <f t="shared" si="2"/>
        <v>300000</v>
      </c>
    </row>
    <row r="46" spans="1:8" ht="24">
      <c r="A46" s="63">
        <v>322</v>
      </c>
      <c r="B46" s="15" t="s">
        <v>213</v>
      </c>
      <c r="C46" s="20">
        <v>1</v>
      </c>
      <c r="D46" s="20">
        <f t="shared" si="0"/>
        <v>300000</v>
      </c>
      <c r="E46" s="20">
        <v>3</v>
      </c>
      <c r="F46" s="20">
        <f t="shared" si="1"/>
        <v>900000</v>
      </c>
      <c r="G46" s="20" t="s">
        <v>167</v>
      </c>
      <c r="H46" s="21" t="str">
        <f t="shared" si="2"/>
        <v>-</v>
      </c>
    </row>
    <row r="47" spans="1:8" ht="24">
      <c r="A47" s="15">
        <v>311</v>
      </c>
      <c r="B47" s="15" t="s">
        <v>214</v>
      </c>
      <c r="C47" s="20" t="s">
        <v>167</v>
      </c>
      <c r="D47" s="20" t="str">
        <f t="shared" si="0"/>
        <v>-</v>
      </c>
      <c r="E47" s="20" t="s">
        <v>167</v>
      </c>
      <c r="F47" s="20" t="str">
        <f t="shared" si="1"/>
        <v>-</v>
      </c>
      <c r="G47" s="20" t="s">
        <v>167</v>
      </c>
      <c r="H47" s="21" t="str">
        <f t="shared" si="2"/>
        <v>-</v>
      </c>
    </row>
    <row r="48" spans="1:8" ht="24">
      <c r="A48" s="63">
        <v>511</v>
      </c>
      <c r="B48" s="15" t="s">
        <v>215</v>
      </c>
      <c r="C48" s="20" t="s">
        <v>167</v>
      </c>
      <c r="D48" s="20" t="str">
        <f t="shared" si="0"/>
        <v>-</v>
      </c>
      <c r="E48" s="20">
        <v>2</v>
      </c>
      <c r="F48" s="20">
        <f t="shared" si="1"/>
        <v>600000</v>
      </c>
      <c r="G48" s="20">
        <v>1</v>
      </c>
      <c r="H48" s="21">
        <f t="shared" si="2"/>
        <v>300000</v>
      </c>
    </row>
    <row r="49" spans="1:8" ht="24">
      <c r="A49" s="63">
        <v>554</v>
      </c>
      <c r="B49" s="15" t="s">
        <v>216</v>
      </c>
      <c r="C49" s="20" t="s">
        <v>167</v>
      </c>
      <c r="D49" s="20" t="str">
        <f t="shared" si="0"/>
        <v>-</v>
      </c>
      <c r="E49" s="20">
        <v>2</v>
      </c>
      <c r="F49" s="20">
        <f t="shared" si="1"/>
        <v>600000</v>
      </c>
      <c r="G49" s="20">
        <v>1</v>
      </c>
      <c r="H49" s="21">
        <f t="shared" si="2"/>
        <v>300000</v>
      </c>
    </row>
    <row r="50" spans="1:8" ht="24">
      <c r="A50" s="33">
        <v>423</v>
      </c>
      <c r="B50" s="33" t="s">
        <v>217</v>
      </c>
      <c r="C50" s="20" t="s">
        <v>167</v>
      </c>
      <c r="D50" s="20" t="str">
        <f t="shared" si="0"/>
        <v>-</v>
      </c>
      <c r="E50" s="20" t="s">
        <v>167</v>
      </c>
      <c r="F50" s="20" t="str">
        <f t="shared" si="1"/>
        <v>-</v>
      </c>
      <c r="G50" s="20">
        <v>2</v>
      </c>
      <c r="H50" s="21">
        <f t="shared" si="2"/>
        <v>600000</v>
      </c>
    </row>
    <row r="51" spans="1:8" ht="24">
      <c r="A51" s="21">
        <v>333</v>
      </c>
      <c r="B51" s="21" t="s">
        <v>218</v>
      </c>
      <c r="C51" s="20">
        <v>1</v>
      </c>
      <c r="D51" s="20">
        <f t="shared" si="0"/>
        <v>300000</v>
      </c>
      <c r="E51" s="20">
        <v>2</v>
      </c>
      <c r="F51" s="20">
        <f t="shared" si="1"/>
        <v>600000</v>
      </c>
      <c r="G51" s="20" t="s">
        <v>167</v>
      </c>
      <c r="H51" s="21" t="str">
        <f t="shared" si="2"/>
        <v>-</v>
      </c>
    </row>
    <row r="52" spans="1:8" ht="24">
      <c r="A52" s="63">
        <v>519</v>
      </c>
      <c r="B52" s="15" t="s">
        <v>219</v>
      </c>
      <c r="C52" s="20" t="s">
        <v>167</v>
      </c>
      <c r="D52" s="20" t="str">
        <f t="shared" si="0"/>
        <v>-</v>
      </c>
      <c r="E52" s="20" t="s">
        <v>167</v>
      </c>
      <c r="F52" s="20" t="str">
        <f t="shared" si="1"/>
        <v>-</v>
      </c>
      <c r="G52" s="20" t="s">
        <v>167</v>
      </c>
      <c r="H52" s="21" t="str">
        <f t="shared" si="2"/>
        <v>-</v>
      </c>
    </row>
    <row r="53" spans="1:8" ht="24">
      <c r="A53" s="15">
        <v>521</v>
      </c>
      <c r="B53" s="15" t="s">
        <v>220</v>
      </c>
      <c r="C53" s="20" t="s">
        <v>167</v>
      </c>
      <c r="D53" s="20" t="str">
        <f t="shared" si="0"/>
        <v>-</v>
      </c>
      <c r="E53" s="20">
        <v>3</v>
      </c>
      <c r="F53" s="20">
        <f t="shared" si="1"/>
        <v>900000</v>
      </c>
      <c r="G53" s="20">
        <v>1</v>
      </c>
      <c r="H53" s="21">
        <f t="shared" si="2"/>
        <v>300000</v>
      </c>
    </row>
    <row r="54" spans="1:8" ht="24">
      <c r="A54" s="15">
        <v>527</v>
      </c>
      <c r="B54" s="15" t="s">
        <v>221</v>
      </c>
      <c r="C54" s="20" t="s">
        <v>167</v>
      </c>
      <c r="D54" s="20" t="str">
        <f t="shared" si="0"/>
        <v>-</v>
      </c>
      <c r="E54" s="20" t="s">
        <v>167</v>
      </c>
      <c r="F54" s="20" t="str">
        <f t="shared" si="1"/>
        <v>-</v>
      </c>
      <c r="G54" s="20" t="s">
        <v>167</v>
      </c>
      <c r="H54" s="21" t="str">
        <f t="shared" si="2"/>
        <v>-</v>
      </c>
    </row>
    <row r="55" spans="1:8" ht="24">
      <c r="A55" s="63">
        <v>634</v>
      </c>
      <c r="B55" s="15" t="s">
        <v>222</v>
      </c>
      <c r="C55" s="20" t="s">
        <v>167</v>
      </c>
      <c r="D55" s="20" t="str">
        <f t="shared" si="0"/>
        <v>-</v>
      </c>
      <c r="E55" s="20">
        <v>3</v>
      </c>
      <c r="F55" s="20">
        <f t="shared" si="1"/>
        <v>900000</v>
      </c>
      <c r="G55" s="20">
        <v>1</v>
      </c>
      <c r="H55" s="21">
        <f t="shared" si="2"/>
        <v>300000</v>
      </c>
    </row>
    <row r="56" spans="1:8" ht="24">
      <c r="A56" s="33">
        <v>535</v>
      </c>
      <c r="B56" s="33" t="s">
        <v>223</v>
      </c>
      <c r="C56" s="20" t="s">
        <v>167</v>
      </c>
      <c r="D56" s="20" t="str">
        <f t="shared" si="0"/>
        <v>-</v>
      </c>
      <c r="E56" s="20">
        <v>1</v>
      </c>
      <c r="F56" s="20">
        <f t="shared" si="1"/>
        <v>300000</v>
      </c>
      <c r="G56" s="20" t="s">
        <v>167</v>
      </c>
      <c r="H56" s="21" t="str">
        <f t="shared" si="2"/>
        <v>-</v>
      </c>
    </row>
    <row r="57" spans="1:8" ht="24">
      <c r="A57" s="65">
        <v>641</v>
      </c>
      <c r="B57" s="21" t="s">
        <v>224</v>
      </c>
      <c r="C57" s="20" t="s">
        <v>167</v>
      </c>
      <c r="D57" s="20" t="str">
        <f t="shared" si="0"/>
        <v>-</v>
      </c>
      <c r="E57" s="20" t="s">
        <v>167</v>
      </c>
      <c r="F57" s="20" t="str">
        <f t="shared" si="1"/>
        <v>-</v>
      </c>
      <c r="G57" s="20" t="s">
        <v>167</v>
      </c>
      <c r="H57" s="21" t="str">
        <f t="shared" si="2"/>
        <v>-</v>
      </c>
    </row>
    <row r="58" spans="1:8" ht="24">
      <c r="A58" s="63">
        <v>552</v>
      </c>
      <c r="B58" s="15" t="s">
        <v>225</v>
      </c>
      <c r="C58" s="20" t="s">
        <v>167</v>
      </c>
      <c r="D58" s="20" t="str">
        <f t="shared" si="0"/>
        <v>-</v>
      </c>
      <c r="E58" s="20">
        <v>2</v>
      </c>
      <c r="F58" s="20">
        <f t="shared" si="1"/>
        <v>600000</v>
      </c>
      <c r="G58" s="20" t="s">
        <v>167</v>
      </c>
      <c r="H58" s="21" t="str">
        <f t="shared" si="2"/>
        <v>-</v>
      </c>
    </row>
    <row r="59" spans="1:8" ht="24">
      <c r="A59" s="15">
        <v>338</v>
      </c>
      <c r="B59" s="15" t="s">
        <v>226</v>
      </c>
      <c r="C59" s="20" t="s">
        <v>167</v>
      </c>
      <c r="D59" s="20" t="str">
        <f t="shared" si="0"/>
        <v>-</v>
      </c>
      <c r="E59" s="20">
        <v>1</v>
      </c>
      <c r="F59" s="20">
        <f t="shared" si="1"/>
        <v>300000</v>
      </c>
      <c r="G59" s="20" t="s">
        <v>167</v>
      </c>
      <c r="H59" s="21" t="str">
        <f t="shared" si="2"/>
        <v>-</v>
      </c>
    </row>
    <row r="60" spans="1:8" ht="24">
      <c r="A60" s="15">
        <v>435</v>
      </c>
      <c r="B60" s="15" t="s">
        <v>227</v>
      </c>
      <c r="C60" s="20" t="s">
        <v>167</v>
      </c>
      <c r="D60" s="20" t="str">
        <f t="shared" si="0"/>
        <v>-</v>
      </c>
      <c r="E60" s="20" t="s">
        <v>167</v>
      </c>
      <c r="F60" s="20" t="str">
        <f t="shared" si="1"/>
        <v>-</v>
      </c>
      <c r="G60" s="20" t="s">
        <v>167</v>
      </c>
      <c r="H60" s="21" t="str">
        <f t="shared" si="2"/>
        <v>-</v>
      </c>
    </row>
    <row r="61" spans="1:8" ht="24">
      <c r="A61" s="63">
        <v>638</v>
      </c>
      <c r="B61" s="15" t="s">
        <v>228</v>
      </c>
      <c r="C61" s="20" t="s">
        <v>167</v>
      </c>
      <c r="D61" s="20" t="str">
        <f t="shared" si="0"/>
        <v>-</v>
      </c>
      <c r="E61" s="20" t="s">
        <v>167</v>
      </c>
      <c r="F61" s="20" t="str">
        <f t="shared" si="1"/>
        <v>-</v>
      </c>
      <c r="G61" s="20">
        <v>1</v>
      </c>
      <c r="H61" s="21">
        <f t="shared" si="2"/>
        <v>300000</v>
      </c>
    </row>
    <row r="62" spans="1:8" ht="24">
      <c r="A62" s="64">
        <v>639</v>
      </c>
      <c r="B62" s="33" t="s">
        <v>229</v>
      </c>
      <c r="C62" s="20" t="s">
        <v>167</v>
      </c>
      <c r="D62" s="20" t="str">
        <f t="shared" si="0"/>
        <v>-</v>
      </c>
      <c r="E62" s="20">
        <v>1</v>
      </c>
      <c r="F62" s="20">
        <f t="shared" si="1"/>
        <v>300000</v>
      </c>
      <c r="G62" s="20">
        <v>2</v>
      </c>
      <c r="H62" s="21">
        <f t="shared" si="2"/>
        <v>600000</v>
      </c>
    </row>
    <row r="63" spans="1:8" ht="24">
      <c r="A63" s="65">
        <v>324</v>
      </c>
      <c r="B63" s="21" t="s">
        <v>230</v>
      </c>
      <c r="C63" s="20" t="s">
        <v>167</v>
      </c>
      <c r="D63" s="20" t="str">
        <f t="shared" si="0"/>
        <v>-</v>
      </c>
      <c r="E63" s="20">
        <v>9</v>
      </c>
      <c r="F63" s="20">
        <f t="shared" si="1"/>
        <v>2700000</v>
      </c>
      <c r="G63" s="20">
        <v>2</v>
      </c>
      <c r="H63" s="21">
        <f t="shared" si="2"/>
        <v>600000</v>
      </c>
    </row>
    <row r="64" spans="1:8" ht="24">
      <c r="A64" s="63">
        <v>323</v>
      </c>
      <c r="B64" s="15" t="s">
        <v>231</v>
      </c>
      <c r="C64" s="20" t="s">
        <v>167</v>
      </c>
      <c r="D64" s="20" t="str">
        <f t="shared" si="0"/>
        <v>-</v>
      </c>
      <c r="E64" s="20" t="s">
        <v>167</v>
      </c>
      <c r="F64" s="20" t="str">
        <f t="shared" si="1"/>
        <v>-</v>
      </c>
      <c r="G64" s="20">
        <v>5</v>
      </c>
      <c r="H64" s="21">
        <f t="shared" si="2"/>
        <v>1500000</v>
      </c>
    </row>
    <row r="65" spans="1:8" ht="24">
      <c r="A65" s="63">
        <v>633</v>
      </c>
      <c r="B65" s="15" t="s">
        <v>232</v>
      </c>
      <c r="C65" s="20">
        <v>2</v>
      </c>
      <c r="D65" s="20">
        <f t="shared" si="0"/>
        <v>600000</v>
      </c>
      <c r="E65" s="20">
        <v>1</v>
      </c>
      <c r="F65" s="20">
        <f t="shared" si="1"/>
        <v>300000</v>
      </c>
      <c r="G65" s="20" t="s">
        <v>167</v>
      </c>
      <c r="H65" s="21" t="str">
        <f t="shared" si="2"/>
        <v>-</v>
      </c>
    </row>
    <row r="66" spans="1:8" ht="24">
      <c r="A66" s="15">
        <v>627</v>
      </c>
      <c r="B66" s="15" t="s">
        <v>233</v>
      </c>
      <c r="C66" s="20">
        <v>1</v>
      </c>
      <c r="D66" s="20">
        <f t="shared" si="0"/>
        <v>300000</v>
      </c>
      <c r="E66" s="20">
        <v>3</v>
      </c>
      <c r="F66" s="20">
        <f t="shared" si="1"/>
        <v>900000</v>
      </c>
      <c r="G66" s="20" t="s">
        <v>167</v>
      </c>
      <c r="H66" s="21" t="str">
        <f t="shared" si="2"/>
        <v>-</v>
      </c>
    </row>
    <row r="67" spans="1:8" ht="24">
      <c r="A67" s="15">
        <v>528</v>
      </c>
      <c r="B67" s="15" t="s">
        <v>234</v>
      </c>
      <c r="C67" s="20">
        <v>2</v>
      </c>
      <c r="D67" s="20">
        <f t="shared" ref="D67:D105" si="3">IF(TRIM(C67)="-","-",C67*$L$1)</f>
        <v>600000</v>
      </c>
      <c r="E67" s="20">
        <v>1</v>
      </c>
      <c r="F67" s="20">
        <f t="shared" ref="F67:F105" si="4">IF(TRIM(E67)="-","-",E67*$L$2)</f>
        <v>300000</v>
      </c>
      <c r="G67" s="20">
        <v>2</v>
      </c>
      <c r="H67" s="21">
        <f t="shared" ref="H67:H105" si="5">IF(TRIM(G67)="-","-",G67*$L$3)</f>
        <v>600000</v>
      </c>
    </row>
    <row r="68" spans="1:8" ht="24">
      <c r="A68" s="33">
        <v>623</v>
      </c>
      <c r="B68" s="33" t="s">
        <v>235</v>
      </c>
      <c r="C68" s="20" t="s">
        <v>167</v>
      </c>
      <c r="D68" s="20" t="str">
        <f t="shared" si="3"/>
        <v>-</v>
      </c>
      <c r="E68" s="20" t="s">
        <v>167</v>
      </c>
      <c r="F68" s="20" t="str">
        <f t="shared" si="4"/>
        <v>-</v>
      </c>
      <c r="G68" s="20" t="s">
        <v>167</v>
      </c>
      <c r="H68" s="21" t="str">
        <f t="shared" si="5"/>
        <v>-</v>
      </c>
    </row>
    <row r="69" spans="1:8" ht="24">
      <c r="A69" s="21">
        <v>336</v>
      </c>
      <c r="B69" s="21" t="s">
        <v>236</v>
      </c>
      <c r="C69" s="20" t="s">
        <v>167</v>
      </c>
      <c r="D69" s="20" t="str">
        <f t="shared" si="3"/>
        <v>-</v>
      </c>
      <c r="E69" s="20">
        <v>3</v>
      </c>
      <c r="F69" s="20">
        <f t="shared" si="4"/>
        <v>900000</v>
      </c>
      <c r="G69" s="20" t="s">
        <v>167</v>
      </c>
      <c r="H69" s="21" t="str">
        <f t="shared" si="5"/>
        <v>-</v>
      </c>
    </row>
    <row r="70" spans="1:8" ht="24">
      <c r="A70" s="15">
        <v>536</v>
      </c>
      <c r="B70" s="15" t="s">
        <v>237</v>
      </c>
      <c r="C70" s="20" t="s">
        <v>167</v>
      </c>
      <c r="D70" s="20" t="str">
        <f t="shared" si="3"/>
        <v>-</v>
      </c>
      <c r="E70" s="20">
        <v>1</v>
      </c>
      <c r="F70" s="20">
        <f t="shared" si="4"/>
        <v>300000</v>
      </c>
      <c r="G70" s="20">
        <v>4</v>
      </c>
      <c r="H70" s="21">
        <f t="shared" si="5"/>
        <v>1200000</v>
      </c>
    </row>
    <row r="71" spans="1:8" ht="24">
      <c r="A71" s="15">
        <v>335</v>
      </c>
      <c r="B71" s="15" t="s">
        <v>238</v>
      </c>
      <c r="C71" s="20" t="s">
        <v>167</v>
      </c>
      <c r="D71" s="20" t="str">
        <f t="shared" si="3"/>
        <v>-</v>
      </c>
      <c r="E71" s="20">
        <v>2</v>
      </c>
      <c r="F71" s="20">
        <f t="shared" si="4"/>
        <v>600000</v>
      </c>
      <c r="G71" s="20">
        <v>1</v>
      </c>
      <c r="H71" s="21">
        <f t="shared" si="5"/>
        <v>300000</v>
      </c>
    </row>
    <row r="72" spans="1:8" ht="24">
      <c r="A72" s="15">
        <v>419</v>
      </c>
      <c r="B72" s="15" t="s">
        <v>239</v>
      </c>
      <c r="C72" s="20" t="s">
        <v>167</v>
      </c>
      <c r="D72" s="20" t="str">
        <f t="shared" si="3"/>
        <v>-</v>
      </c>
      <c r="E72" s="20">
        <v>2</v>
      </c>
      <c r="F72" s="20">
        <f t="shared" si="4"/>
        <v>600000</v>
      </c>
      <c r="G72" s="20" t="s">
        <v>167</v>
      </c>
      <c r="H72" s="21" t="str">
        <f t="shared" si="5"/>
        <v>-</v>
      </c>
    </row>
    <row r="73" spans="1:8" ht="24">
      <c r="A73" s="15">
        <v>332</v>
      </c>
      <c r="B73" s="15" t="s">
        <v>240</v>
      </c>
      <c r="C73" s="20">
        <v>1</v>
      </c>
      <c r="D73" s="20">
        <f t="shared" si="3"/>
        <v>300000</v>
      </c>
      <c r="E73" s="20" t="s">
        <v>167</v>
      </c>
      <c r="F73" s="20" t="str">
        <f t="shared" si="4"/>
        <v>-</v>
      </c>
      <c r="G73" s="20" t="s">
        <v>167</v>
      </c>
      <c r="H73" s="21" t="str">
        <f t="shared" si="5"/>
        <v>-</v>
      </c>
    </row>
    <row r="74" spans="1:8" ht="24">
      <c r="A74" s="63">
        <v>646</v>
      </c>
      <c r="B74" s="15" t="s">
        <v>241</v>
      </c>
      <c r="C74" s="20">
        <v>1</v>
      </c>
      <c r="D74" s="20">
        <f t="shared" si="3"/>
        <v>300000</v>
      </c>
      <c r="E74" s="20" t="s">
        <v>167</v>
      </c>
      <c r="F74" s="20" t="str">
        <f t="shared" si="4"/>
        <v>-</v>
      </c>
      <c r="G74" s="20" t="s">
        <v>167</v>
      </c>
      <c r="H74" s="21" t="str">
        <f t="shared" si="5"/>
        <v>-</v>
      </c>
    </row>
    <row r="75" spans="1:8" ht="24">
      <c r="A75" s="15">
        <v>621</v>
      </c>
      <c r="B75" s="15" t="s">
        <v>242</v>
      </c>
      <c r="C75" s="20" t="s">
        <v>167</v>
      </c>
      <c r="D75" s="20" t="str">
        <f t="shared" si="3"/>
        <v>-</v>
      </c>
      <c r="E75" s="20" t="s">
        <v>167</v>
      </c>
      <c r="F75" s="20" t="str">
        <f t="shared" si="4"/>
        <v>-</v>
      </c>
      <c r="G75" s="20" t="s">
        <v>167</v>
      </c>
      <c r="H75" s="21" t="str">
        <f t="shared" si="5"/>
        <v>-</v>
      </c>
    </row>
    <row r="76" spans="1:8" ht="24">
      <c r="A76" s="33">
        <v>446</v>
      </c>
      <c r="B76" s="33" t="s">
        <v>243</v>
      </c>
      <c r="C76" s="20" t="s">
        <v>167</v>
      </c>
      <c r="D76" s="20" t="str">
        <f t="shared" si="3"/>
        <v>-</v>
      </c>
      <c r="E76" s="20">
        <v>5</v>
      </c>
      <c r="F76" s="20">
        <f t="shared" si="4"/>
        <v>1500000</v>
      </c>
      <c r="G76" s="20">
        <v>1</v>
      </c>
      <c r="H76" s="21">
        <f t="shared" si="5"/>
        <v>300000</v>
      </c>
    </row>
    <row r="77" spans="1:8" ht="24">
      <c r="A77" s="65">
        <v>329</v>
      </c>
      <c r="B77" s="21" t="s">
        <v>244</v>
      </c>
      <c r="C77" s="20" t="s">
        <v>167</v>
      </c>
      <c r="D77" s="20" t="str">
        <f t="shared" si="3"/>
        <v>-</v>
      </c>
      <c r="E77" s="20">
        <v>2</v>
      </c>
      <c r="F77" s="20">
        <f t="shared" si="4"/>
        <v>600000</v>
      </c>
      <c r="G77" s="20" t="s">
        <v>167</v>
      </c>
      <c r="H77" s="21" t="str">
        <f t="shared" si="5"/>
        <v>-</v>
      </c>
    </row>
    <row r="78" spans="1:8" ht="24">
      <c r="A78" s="63">
        <v>636</v>
      </c>
      <c r="B78" s="15" t="s">
        <v>245</v>
      </c>
      <c r="C78" s="20">
        <v>2</v>
      </c>
      <c r="D78" s="20">
        <f t="shared" si="3"/>
        <v>600000</v>
      </c>
      <c r="E78" s="20">
        <v>2</v>
      </c>
      <c r="F78" s="20">
        <f t="shared" si="4"/>
        <v>600000</v>
      </c>
      <c r="G78" s="20">
        <v>2</v>
      </c>
      <c r="H78" s="21">
        <f t="shared" si="5"/>
        <v>600000</v>
      </c>
    </row>
    <row r="79" spans="1:8" ht="24">
      <c r="A79" s="63">
        <v>631</v>
      </c>
      <c r="B79" s="15" t="s">
        <v>246</v>
      </c>
      <c r="C79" s="20" t="s">
        <v>167</v>
      </c>
      <c r="D79" s="20" t="str">
        <f t="shared" si="3"/>
        <v>-</v>
      </c>
      <c r="E79" s="20">
        <v>1</v>
      </c>
      <c r="F79" s="20">
        <f t="shared" si="4"/>
        <v>300000</v>
      </c>
      <c r="G79" s="20">
        <v>1</v>
      </c>
      <c r="H79" s="21">
        <f t="shared" si="5"/>
        <v>300000</v>
      </c>
    </row>
    <row r="80" spans="1:8" ht="24">
      <c r="A80" s="63">
        <v>327</v>
      </c>
      <c r="B80" s="15" t="s">
        <v>247</v>
      </c>
      <c r="C80" s="20" t="s">
        <v>167</v>
      </c>
      <c r="D80" s="20" t="str">
        <f t="shared" si="3"/>
        <v>-</v>
      </c>
      <c r="E80" s="20">
        <v>1</v>
      </c>
      <c r="F80" s="20">
        <f t="shared" si="4"/>
        <v>300000</v>
      </c>
      <c r="G80" s="20" t="s">
        <v>167</v>
      </c>
      <c r="H80" s="21" t="str">
        <f t="shared" si="5"/>
        <v>-</v>
      </c>
    </row>
    <row r="81" spans="1:8" ht="24">
      <c r="A81" s="15">
        <v>425</v>
      </c>
      <c r="B81" s="15" t="s">
        <v>248</v>
      </c>
      <c r="C81" s="20" t="s">
        <v>167</v>
      </c>
      <c r="D81" s="20" t="str">
        <f t="shared" si="3"/>
        <v>-</v>
      </c>
      <c r="E81" s="20" t="s">
        <v>167</v>
      </c>
      <c r="F81" s="20" t="str">
        <f t="shared" si="4"/>
        <v>-</v>
      </c>
      <c r="G81" s="20" t="s">
        <v>167</v>
      </c>
      <c r="H81" s="21" t="str">
        <f t="shared" si="5"/>
        <v>-</v>
      </c>
    </row>
    <row r="82" spans="1:8" ht="24">
      <c r="A82" s="33">
        <v>524</v>
      </c>
      <c r="B82" s="33" t="s">
        <v>249</v>
      </c>
      <c r="C82" s="20" t="s">
        <v>167</v>
      </c>
      <c r="D82" s="20" t="str">
        <f t="shared" si="3"/>
        <v>-</v>
      </c>
      <c r="E82" s="20" t="s">
        <v>167</v>
      </c>
      <c r="F82" s="20" t="str">
        <f t="shared" si="4"/>
        <v>-</v>
      </c>
      <c r="G82" s="20">
        <v>1</v>
      </c>
      <c r="H82" s="21">
        <f t="shared" si="5"/>
        <v>300000</v>
      </c>
    </row>
    <row r="83" spans="1:8" ht="24">
      <c r="A83" s="65">
        <v>632</v>
      </c>
      <c r="B83" s="21" t="s">
        <v>250</v>
      </c>
      <c r="C83" s="20" t="s">
        <v>167</v>
      </c>
      <c r="D83" s="20" t="str">
        <f t="shared" si="3"/>
        <v>-</v>
      </c>
      <c r="E83" s="20" t="s">
        <v>167</v>
      </c>
      <c r="F83" s="20" t="str">
        <f t="shared" si="4"/>
        <v>-</v>
      </c>
      <c r="G83" s="20" t="s">
        <v>167</v>
      </c>
      <c r="H83" s="21" t="str">
        <f t="shared" si="5"/>
        <v>-</v>
      </c>
    </row>
    <row r="84" spans="1:8" ht="24">
      <c r="A84" s="63">
        <v>643</v>
      </c>
      <c r="B84" s="15" t="s">
        <v>251</v>
      </c>
      <c r="C84" s="20" t="s">
        <v>167</v>
      </c>
      <c r="D84" s="20" t="str">
        <f t="shared" si="3"/>
        <v>-</v>
      </c>
      <c r="E84" s="20" t="s">
        <v>167</v>
      </c>
      <c r="F84" s="20" t="str">
        <f t="shared" si="4"/>
        <v>-</v>
      </c>
      <c r="G84" s="20">
        <v>1</v>
      </c>
      <c r="H84" s="21">
        <f t="shared" si="5"/>
        <v>300000</v>
      </c>
    </row>
    <row r="85" spans="1:8" ht="24">
      <c r="A85" s="15">
        <v>448</v>
      </c>
      <c r="B85" s="15" t="s">
        <v>252</v>
      </c>
      <c r="C85" s="20" t="s">
        <v>167</v>
      </c>
      <c r="D85" s="20" t="str">
        <f t="shared" si="3"/>
        <v>-</v>
      </c>
      <c r="E85" s="20">
        <v>1</v>
      </c>
      <c r="F85" s="20">
        <f t="shared" si="4"/>
        <v>300000</v>
      </c>
      <c r="G85" s="20" t="s">
        <v>167</v>
      </c>
      <c r="H85" s="21" t="str">
        <f t="shared" si="5"/>
        <v>-</v>
      </c>
    </row>
    <row r="86" spans="1:8" ht="24">
      <c r="A86" s="15">
        <v>628</v>
      </c>
      <c r="B86" s="15" t="s">
        <v>253</v>
      </c>
      <c r="C86" s="20">
        <v>3</v>
      </c>
      <c r="D86" s="20">
        <f t="shared" si="3"/>
        <v>900000</v>
      </c>
      <c r="E86" s="20">
        <v>2</v>
      </c>
      <c r="F86" s="20">
        <f t="shared" si="4"/>
        <v>600000</v>
      </c>
      <c r="G86" s="20" t="s">
        <v>167</v>
      </c>
      <c r="H86" s="21" t="str">
        <f t="shared" si="5"/>
        <v>-</v>
      </c>
    </row>
    <row r="87" spans="1:8" ht="24">
      <c r="A87" s="15">
        <v>624</v>
      </c>
      <c r="B87" s="15" t="s">
        <v>254</v>
      </c>
      <c r="C87" s="20" t="s">
        <v>167</v>
      </c>
      <c r="D87" s="20" t="str">
        <f t="shared" si="3"/>
        <v>-</v>
      </c>
      <c r="E87" s="20">
        <v>2</v>
      </c>
      <c r="F87" s="20">
        <f t="shared" si="4"/>
        <v>600000</v>
      </c>
      <c r="G87" s="20">
        <v>1</v>
      </c>
      <c r="H87" s="21">
        <f t="shared" si="5"/>
        <v>300000</v>
      </c>
    </row>
    <row r="88" spans="1:8" ht="24">
      <c r="A88" s="64">
        <v>642</v>
      </c>
      <c r="B88" s="33" t="s">
        <v>255</v>
      </c>
      <c r="C88" s="20">
        <v>2</v>
      </c>
      <c r="D88" s="20">
        <f t="shared" si="3"/>
        <v>600000</v>
      </c>
      <c r="E88" s="20">
        <v>2</v>
      </c>
      <c r="F88" s="20">
        <f t="shared" si="4"/>
        <v>600000</v>
      </c>
      <c r="G88" s="20">
        <v>1</v>
      </c>
      <c r="H88" s="21">
        <f t="shared" si="5"/>
        <v>300000</v>
      </c>
    </row>
    <row r="89" spans="1:8" ht="24">
      <c r="A89" s="65">
        <v>328</v>
      </c>
      <c r="B89" s="21" t="s">
        <v>256</v>
      </c>
      <c r="C89" s="20" t="s">
        <v>167</v>
      </c>
      <c r="D89" s="20" t="str">
        <f t="shared" si="3"/>
        <v>-</v>
      </c>
      <c r="E89" s="20">
        <v>1</v>
      </c>
      <c r="F89" s="20">
        <f t="shared" si="4"/>
        <v>300000</v>
      </c>
      <c r="G89" s="20">
        <v>1</v>
      </c>
      <c r="H89" s="21">
        <f t="shared" si="5"/>
        <v>300000</v>
      </c>
    </row>
    <row r="90" spans="1:8" ht="24">
      <c r="A90" s="15">
        <v>526</v>
      </c>
      <c r="B90" s="15" t="s">
        <v>257</v>
      </c>
      <c r="C90" s="20" t="s">
        <v>167</v>
      </c>
      <c r="D90" s="20" t="str">
        <f t="shared" si="3"/>
        <v>-</v>
      </c>
      <c r="E90" s="20">
        <v>3</v>
      </c>
      <c r="F90" s="20">
        <f t="shared" si="4"/>
        <v>900000</v>
      </c>
      <c r="G90" s="20">
        <v>1</v>
      </c>
      <c r="H90" s="21">
        <f t="shared" si="5"/>
        <v>300000</v>
      </c>
    </row>
    <row r="91" spans="1:8" ht="24">
      <c r="A91" s="15">
        <v>539</v>
      </c>
      <c r="B91" s="15" t="s">
        <v>258</v>
      </c>
      <c r="C91" s="20">
        <v>1</v>
      </c>
      <c r="D91" s="20">
        <f t="shared" si="3"/>
        <v>300000</v>
      </c>
      <c r="E91" s="20">
        <v>1</v>
      </c>
      <c r="F91" s="20">
        <f t="shared" si="4"/>
        <v>300000</v>
      </c>
      <c r="G91" s="20" t="s">
        <v>167</v>
      </c>
      <c r="H91" s="21" t="str">
        <f t="shared" si="5"/>
        <v>-</v>
      </c>
    </row>
    <row r="92" spans="1:8" ht="24">
      <c r="A92" s="15">
        <v>433</v>
      </c>
      <c r="B92" s="15" t="s">
        <v>259</v>
      </c>
      <c r="C92" s="20" t="s">
        <v>167</v>
      </c>
      <c r="D92" s="20" t="str">
        <f t="shared" si="3"/>
        <v>-</v>
      </c>
      <c r="E92" s="20">
        <v>1</v>
      </c>
      <c r="F92" s="20">
        <f t="shared" si="4"/>
        <v>300000</v>
      </c>
      <c r="G92" s="20">
        <v>2</v>
      </c>
      <c r="H92" s="21">
        <f t="shared" si="5"/>
        <v>600000</v>
      </c>
    </row>
    <row r="93" spans="1:8" ht="24">
      <c r="A93" s="63">
        <v>314</v>
      </c>
      <c r="B93" s="15" t="s">
        <v>260</v>
      </c>
      <c r="C93" s="20" t="s">
        <v>167</v>
      </c>
      <c r="D93" s="20" t="str">
        <f t="shared" si="3"/>
        <v>-</v>
      </c>
      <c r="E93" s="20">
        <v>3</v>
      </c>
      <c r="F93" s="20">
        <f t="shared" si="4"/>
        <v>900000</v>
      </c>
      <c r="G93" s="20" t="s">
        <v>167</v>
      </c>
      <c r="H93" s="21" t="str">
        <f t="shared" si="5"/>
        <v>-</v>
      </c>
    </row>
    <row r="94" spans="1:8" ht="24">
      <c r="A94" s="33">
        <v>414</v>
      </c>
      <c r="B94" s="33" t="s">
        <v>261</v>
      </c>
      <c r="C94" s="20">
        <v>1</v>
      </c>
      <c r="D94" s="20">
        <f t="shared" si="3"/>
        <v>300000</v>
      </c>
      <c r="E94" s="20">
        <v>1</v>
      </c>
      <c r="F94" s="20">
        <f t="shared" si="4"/>
        <v>300000</v>
      </c>
      <c r="G94" s="20">
        <v>3</v>
      </c>
      <c r="H94" s="21">
        <f t="shared" si="5"/>
        <v>900000</v>
      </c>
    </row>
    <row r="95" spans="1:8" ht="24">
      <c r="A95" s="65">
        <v>555</v>
      </c>
      <c r="B95" s="21" t="s">
        <v>262</v>
      </c>
      <c r="C95" s="20" t="s">
        <v>167</v>
      </c>
      <c r="D95" s="20" t="str">
        <f t="shared" si="3"/>
        <v>-</v>
      </c>
      <c r="E95" s="20">
        <v>2</v>
      </c>
      <c r="F95" s="20">
        <f t="shared" si="4"/>
        <v>600000</v>
      </c>
      <c r="G95" s="20" t="s">
        <v>167</v>
      </c>
      <c r="H95" s="21" t="str">
        <f t="shared" si="5"/>
        <v>-</v>
      </c>
    </row>
    <row r="96" spans="1:8" ht="24">
      <c r="A96" s="15">
        <v>337</v>
      </c>
      <c r="B96" s="15" t="s">
        <v>263</v>
      </c>
      <c r="C96" s="20" t="s">
        <v>167</v>
      </c>
      <c r="D96" s="20" t="str">
        <f t="shared" si="3"/>
        <v>-</v>
      </c>
      <c r="E96" s="20">
        <v>1</v>
      </c>
      <c r="F96" s="20">
        <f t="shared" si="4"/>
        <v>300000</v>
      </c>
      <c r="G96" s="20" t="s">
        <v>167</v>
      </c>
      <c r="H96" s="21" t="str">
        <f t="shared" si="5"/>
        <v>-</v>
      </c>
    </row>
    <row r="97" spans="1:8" ht="24">
      <c r="A97" s="63">
        <v>629</v>
      </c>
      <c r="B97" s="15" t="s">
        <v>264</v>
      </c>
      <c r="C97" s="20" t="s">
        <v>167</v>
      </c>
      <c r="D97" s="20" t="str">
        <f t="shared" si="3"/>
        <v>-</v>
      </c>
      <c r="E97" s="20" t="s">
        <v>167</v>
      </c>
      <c r="F97" s="20" t="str">
        <f t="shared" si="4"/>
        <v>-</v>
      </c>
      <c r="G97" s="20" t="s">
        <v>167</v>
      </c>
      <c r="H97" s="21" t="str">
        <f t="shared" si="5"/>
        <v>-</v>
      </c>
    </row>
    <row r="98" spans="1:8" ht="24">
      <c r="A98" s="63">
        <v>331</v>
      </c>
      <c r="B98" s="15" t="s">
        <v>265</v>
      </c>
      <c r="C98" s="20" t="s">
        <v>167</v>
      </c>
      <c r="D98" s="20" t="str">
        <f t="shared" si="3"/>
        <v>-</v>
      </c>
      <c r="E98" s="20">
        <v>1</v>
      </c>
      <c r="F98" s="20">
        <f t="shared" si="4"/>
        <v>300000</v>
      </c>
      <c r="G98" s="20" t="s">
        <v>167</v>
      </c>
      <c r="H98" s="21" t="str">
        <f t="shared" si="5"/>
        <v>-</v>
      </c>
    </row>
    <row r="99" spans="1:8" ht="24">
      <c r="A99" s="64">
        <v>557</v>
      </c>
      <c r="B99" s="33" t="s">
        <v>266</v>
      </c>
      <c r="C99" s="20" t="s">
        <v>167</v>
      </c>
      <c r="D99" s="20" t="str">
        <f t="shared" si="3"/>
        <v>-</v>
      </c>
      <c r="E99" s="20">
        <v>1</v>
      </c>
      <c r="F99" s="20">
        <f t="shared" si="4"/>
        <v>300000</v>
      </c>
      <c r="G99" s="20" t="s">
        <v>167</v>
      </c>
      <c r="H99" s="21" t="str">
        <f t="shared" si="5"/>
        <v>-</v>
      </c>
    </row>
    <row r="100" spans="1:8" ht="24">
      <c r="A100" s="65">
        <v>558</v>
      </c>
      <c r="B100" s="21" t="s">
        <v>267</v>
      </c>
      <c r="C100" s="20">
        <v>4</v>
      </c>
      <c r="D100" s="20">
        <f t="shared" si="3"/>
        <v>1200000</v>
      </c>
      <c r="E100" s="20" t="s">
        <v>167</v>
      </c>
      <c r="F100" s="20" t="str">
        <f t="shared" si="4"/>
        <v>-</v>
      </c>
      <c r="G100" s="20">
        <v>1</v>
      </c>
      <c r="H100" s="21">
        <f t="shared" si="5"/>
        <v>300000</v>
      </c>
    </row>
    <row r="101" spans="1:8" ht="24">
      <c r="A101" s="15">
        <v>318</v>
      </c>
      <c r="B101" s="15" t="s">
        <v>268</v>
      </c>
      <c r="C101" s="20" t="s">
        <v>167</v>
      </c>
      <c r="D101" s="20" t="str">
        <f t="shared" si="3"/>
        <v>-</v>
      </c>
      <c r="E101" s="20" t="s">
        <v>167</v>
      </c>
      <c r="F101" s="20" t="str">
        <f t="shared" si="4"/>
        <v>-</v>
      </c>
      <c r="G101" s="20" t="s">
        <v>167</v>
      </c>
      <c r="H101" s="21" t="str">
        <f t="shared" si="5"/>
        <v>-</v>
      </c>
    </row>
    <row r="102" spans="1:8" ht="24">
      <c r="A102" s="15">
        <v>447</v>
      </c>
      <c r="B102" s="15" t="s">
        <v>269</v>
      </c>
      <c r="C102" s="20">
        <v>1</v>
      </c>
      <c r="D102" s="20">
        <f t="shared" si="3"/>
        <v>300000</v>
      </c>
      <c r="E102" s="20">
        <v>1</v>
      </c>
      <c r="F102" s="20">
        <f t="shared" si="4"/>
        <v>300000</v>
      </c>
      <c r="G102" s="20" t="s">
        <v>167</v>
      </c>
      <c r="H102" s="21" t="str">
        <f t="shared" si="5"/>
        <v>-</v>
      </c>
    </row>
    <row r="103" spans="1:8" ht="24">
      <c r="A103" s="15">
        <v>312</v>
      </c>
      <c r="B103" s="15" t="s">
        <v>270</v>
      </c>
      <c r="C103" s="20" t="s">
        <v>167</v>
      </c>
      <c r="D103" s="20" t="str">
        <f t="shared" si="3"/>
        <v>-</v>
      </c>
      <c r="E103" s="20">
        <v>1</v>
      </c>
      <c r="F103" s="20">
        <f t="shared" si="4"/>
        <v>300000</v>
      </c>
      <c r="G103" s="20">
        <v>3</v>
      </c>
      <c r="H103" s="21">
        <f t="shared" si="5"/>
        <v>900000</v>
      </c>
    </row>
    <row r="104" spans="1:8" ht="24">
      <c r="A104" s="15">
        <v>313</v>
      </c>
      <c r="B104" s="15" t="s">
        <v>271</v>
      </c>
      <c r="C104" s="20">
        <v>2</v>
      </c>
      <c r="D104" s="20">
        <f t="shared" si="3"/>
        <v>600000</v>
      </c>
      <c r="E104" s="20" t="s">
        <v>167</v>
      </c>
      <c r="F104" s="20" t="str">
        <f t="shared" si="4"/>
        <v>-</v>
      </c>
      <c r="G104" s="20" t="s">
        <v>167</v>
      </c>
      <c r="H104" s="21" t="str">
        <f t="shared" si="5"/>
        <v>-</v>
      </c>
    </row>
    <row r="105" spans="1:8" ht="24">
      <c r="A105" s="33">
        <v>319</v>
      </c>
      <c r="B105" s="33" t="s">
        <v>272</v>
      </c>
      <c r="C105" s="20" t="s">
        <v>167</v>
      </c>
      <c r="D105" s="20" t="str">
        <f t="shared" si="3"/>
        <v>-</v>
      </c>
      <c r="E105" s="20">
        <v>1</v>
      </c>
      <c r="F105" s="20">
        <f t="shared" si="4"/>
        <v>300000</v>
      </c>
      <c r="G105" s="20" t="s">
        <v>167</v>
      </c>
      <c r="H105" s="21" t="str">
        <f t="shared" si="5"/>
        <v>-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529C-2AFD-485D-A7D0-7689B5936E4D}">
  <dimension ref="A1:D107"/>
  <sheetViews>
    <sheetView workbookViewId="0">
      <selection activeCell="D10" sqref="D10"/>
    </sheetView>
  </sheetViews>
  <sheetFormatPr defaultRowHeight="15"/>
  <cols>
    <col min="1" max="1" width="28.42578125" customWidth="1"/>
    <col min="2" max="2" width="56" customWidth="1"/>
    <col min="3" max="3" width="16" customWidth="1"/>
    <col min="4" max="4" width="42.42578125" customWidth="1"/>
  </cols>
  <sheetData>
    <row r="1" spans="1:4" ht="43.5" customHeight="1">
      <c r="A1" s="46" t="s">
        <v>159</v>
      </c>
      <c r="B1" s="76" t="s">
        <v>273</v>
      </c>
      <c r="C1" s="46" t="s">
        <v>274</v>
      </c>
      <c r="D1" s="78" t="s">
        <v>275</v>
      </c>
    </row>
    <row r="2" spans="1:4" ht="21.75">
      <c r="A2" s="47" t="s">
        <v>276</v>
      </c>
      <c r="B2" s="77"/>
      <c r="C2" s="47" t="s">
        <v>277</v>
      </c>
      <c r="D2" s="79"/>
    </row>
    <row r="3" spans="1:4" ht="24">
      <c r="A3" s="50">
        <v>521</v>
      </c>
      <c r="B3" s="51" t="s">
        <v>220</v>
      </c>
      <c r="C3" s="52">
        <v>760.61199999999997</v>
      </c>
      <c r="D3" s="20">
        <v>3841642340</v>
      </c>
    </row>
    <row r="4" spans="1:4" ht="24">
      <c r="A4" s="53">
        <v>522</v>
      </c>
      <c r="B4" s="54" t="s">
        <v>186</v>
      </c>
      <c r="C4" s="55">
        <v>922.12800000000004</v>
      </c>
      <c r="D4" s="20">
        <v>2923949676</v>
      </c>
    </row>
    <row r="5" spans="1:4" ht="24">
      <c r="A5" s="53">
        <v>527</v>
      </c>
      <c r="B5" s="54" t="s">
        <v>221</v>
      </c>
      <c r="C5" s="55">
        <v>757.51199999999994</v>
      </c>
      <c r="D5" s="20">
        <v>8190537479</v>
      </c>
    </row>
    <row r="6" spans="1:4" ht="24">
      <c r="A6" s="53">
        <v>533</v>
      </c>
      <c r="B6" s="54" t="s">
        <v>175</v>
      </c>
      <c r="C6" s="59">
        <v>1016.413</v>
      </c>
      <c r="D6" s="20">
        <v>2534722589</v>
      </c>
    </row>
    <row r="7" spans="1:4" ht="24">
      <c r="A7" s="53">
        <v>537</v>
      </c>
      <c r="B7" s="54" t="s">
        <v>181</v>
      </c>
      <c r="C7" s="59">
        <v>1000.818</v>
      </c>
      <c r="D7" s="20">
        <v>4099700049</v>
      </c>
    </row>
    <row r="8" spans="1:4" ht="24">
      <c r="A8" s="53">
        <v>338</v>
      </c>
      <c r="B8" s="54" t="s">
        <v>226</v>
      </c>
      <c r="C8" s="55">
        <v>711.86900000000003</v>
      </c>
      <c r="D8" s="20">
        <v>1434933767</v>
      </c>
    </row>
    <row r="9" spans="1:4" ht="24">
      <c r="A9" s="53">
        <v>551</v>
      </c>
      <c r="B9" s="54" t="s">
        <v>184</v>
      </c>
      <c r="C9" s="55">
        <v>991.51599999999996</v>
      </c>
      <c r="D9" s="20">
        <v>6805264816</v>
      </c>
    </row>
    <row r="10" spans="1:4" ht="24">
      <c r="A10" s="53">
        <v>552</v>
      </c>
      <c r="B10" s="54" t="s">
        <v>278</v>
      </c>
      <c r="C10" s="55">
        <v>780.41499999999996</v>
      </c>
      <c r="D10" s="20">
        <v>3162766741</v>
      </c>
    </row>
    <row r="11" spans="1:4" ht="24">
      <c r="A11" s="53">
        <v>554</v>
      </c>
      <c r="B11" s="54" t="s">
        <v>216</v>
      </c>
      <c r="C11" s="55">
        <v>813.49900000000002</v>
      </c>
      <c r="D11" s="20">
        <v>1741306985</v>
      </c>
    </row>
    <row r="12" spans="1:4" ht="24">
      <c r="A12" s="53">
        <v>555</v>
      </c>
      <c r="B12" s="54" t="s">
        <v>279</v>
      </c>
      <c r="C12" s="55">
        <v>575.20000000000005</v>
      </c>
      <c r="D12" s="20">
        <v>2088006501</v>
      </c>
    </row>
    <row r="13" spans="1:4" ht="24">
      <c r="A13" s="53">
        <v>531</v>
      </c>
      <c r="B13" s="54" t="s">
        <v>199</v>
      </c>
      <c r="C13" s="55">
        <v>868.16399999999999</v>
      </c>
      <c r="D13" s="20">
        <v>7275391789</v>
      </c>
    </row>
    <row r="14" spans="1:4" ht="24">
      <c r="A14" s="53">
        <v>526</v>
      </c>
      <c r="B14" s="54" t="s">
        <v>257</v>
      </c>
      <c r="C14" s="55">
        <v>621.27700000000004</v>
      </c>
      <c r="D14" s="20">
        <v>7433681041</v>
      </c>
    </row>
    <row r="15" spans="1:4" ht="24">
      <c r="A15" s="53">
        <v>323</v>
      </c>
      <c r="B15" s="54" t="s">
        <v>231</v>
      </c>
      <c r="C15" s="55">
        <v>752.71199999999999</v>
      </c>
      <c r="D15" s="20">
        <v>3359867039</v>
      </c>
    </row>
    <row r="16" spans="1:4" ht="24">
      <c r="A16" s="53">
        <v>411</v>
      </c>
      <c r="B16" s="54" t="s">
        <v>194</v>
      </c>
      <c r="C16" s="55">
        <v>566.44399999999996</v>
      </c>
      <c r="D16" s="20">
        <v>7519309714</v>
      </c>
    </row>
    <row r="17" spans="1:4" ht="24">
      <c r="A17" s="53">
        <v>444</v>
      </c>
      <c r="B17" s="54" t="s">
        <v>177</v>
      </c>
      <c r="C17" s="59">
        <v>1017.353</v>
      </c>
      <c r="D17" s="20">
        <v>1575957034</v>
      </c>
    </row>
    <row r="18" spans="1:4" ht="24">
      <c r="A18" s="53">
        <v>647</v>
      </c>
      <c r="B18" s="54" t="s">
        <v>189</v>
      </c>
      <c r="C18" s="55">
        <v>945.15800000000002</v>
      </c>
      <c r="D18" s="20">
        <v>2623101690</v>
      </c>
    </row>
    <row r="19" spans="1:4" ht="24">
      <c r="A19" s="53">
        <v>517</v>
      </c>
      <c r="B19" s="54" t="s">
        <v>196</v>
      </c>
      <c r="C19" s="55">
        <v>884.94</v>
      </c>
      <c r="D19" s="20">
        <v>7818459379</v>
      </c>
    </row>
    <row r="20" spans="1:4" ht="24">
      <c r="A20" s="53">
        <v>621</v>
      </c>
      <c r="B20" s="54" t="s">
        <v>242</v>
      </c>
      <c r="C20" s="55">
        <v>640.13199999999995</v>
      </c>
      <c r="D20" s="20">
        <v>1996857227</v>
      </c>
    </row>
    <row r="21" spans="1:4" ht="24">
      <c r="A21" s="53">
        <v>627</v>
      </c>
      <c r="B21" s="54" t="s">
        <v>280</v>
      </c>
      <c r="C21" s="55">
        <v>687.24599999999998</v>
      </c>
      <c r="D21" s="20">
        <v>1524982665</v>
      </c>
    </row>
    <row r="22" spans="1:4" ht="24">
      <c r="A22" s="53">
        <v>628</v>
      </c>
      <c r="B22" s="54" t="s">
        <v>281</v>
      </c>
      <c r="C22" s="55">
        <v>645.69000000000005</v>
      </c>
      <c r="D22" s="20">
        <v>1009229075</v>
      </c>
    </row>
    <row r="23" spans="1:4" ht="24">
      <c r="A23" s="53">
        <v>423</v>
      </c>
      <c r="B23" s="54" t="s">
        <v>217</v>
      </c>
      <c r="C23" s="55">
        <v>770.64400000000001</v>
      </c>
      <c r="D23" s="20">
        <v>3225202515</v>
      </c>
    </row>
    <row r="24" spans="1:4" ht="24">
      <c r="A24" s="53">
        <v>421</v>
      </c>
      <c r="B24" s="54" t="s">
        <v>174</v>
      </c>
      <c r="C24" s="55">
        <v>955.31600000000003</v>
      </c>
      <c r="D24" s="20">
        <v>2918720562</v>
      </c>
    </row>
    <row r="25" spans="1:4" ht="24">
      <c r="A25" s="53">
        <v>422</v>
      </c>
      <c r="B25" s="54" t="s">
        <v>197</v>
      </c>
      <c r="C25" s="55">
        <v>774.303</v>
      </c>
      <c r="D25" s="20">
        <v>1888426826</v>
      </c>
    </row>
    <row r="26" spans="1:4" ht="24">
      <c r="A26" s="53">
        <v>428</v>
      </c>
      <c r="B26" s="54" t="s">
        <v>178</v>
      </c>
      <c r="C26" s="55">
        <v>934.25900000000001</v>
      </c>
      <c r="D26" s="20">
        <v>2251455796</v>
      </c>
    </row>
    <row r="27" spans="1:4" ht="24">
      <c r="A27" s="53">
        <v>446</v>
      </c>
      <c r="B27" s="54" t="s">
        <v>243</v>
      </c>
      <c r="C27" s="55">
        <v>674.495</v>
      </c>
      <c r="D27" s="20">
        <v>2737266415</v>
      </c>
    </row>
    <row r="28" spans="1:4" ht="24">
      <c r="A28" s="53">
        <v>626</v>
      </c>
      <c r="B28" s="54" t="s">
        <v>204</v>
      </c>
      <c r="C28" s="55">
        <v>830.04300000000001</v>
      </c>
      <c r="D28" s="20">
        <v>3092802372</v>
      </c>
    </row>
    <row r="29" spans="1:4" ht="24">
      <c r="A29" s="53">
        <v>332</v>
      </c>
      <c r="B29" s="54" t="s">
        <v>240</v>
      </c>
      <c r="C29" s="55">
        <v>661.423</v>
      </c>
      <c r="D29" s="20">
        <v>2142184953</v>
      </c>
    </row>
    <row r="30" spans="1:4" ht="24">
      <c r="A30" s="53">
        <v>322</v>
      </c>
      <c r="B30" s="54" t="s">
        <v>213</v>
      </c>
      <c r="C30" s="55">
        <v>781.68499999999995</v>
      </c>
      <c r="D30" s="20">
        <v>852306494</v>
      </c>
    </row>
    <row r="31" spans="1:4" ht="24">
      <c r="A31" s="53">
        <v>425</v>
      </c>
      <c r="B31" s="54" t="s">
        <v>248</v>
      </c>
      <c r="C31" s="55">
        <v>677.55799999999999</v>
      </c>
      <c r="D31" s="20">
        <v>1712443192</v>
      </c>
    </row>
    <row r="32" spans="1:4" ht="24">
      <c r="A32" s="53">
        <v>512</v>
      </c>
      <c r="B32" s="54" t="s">
        <v>209</v>
      </c>
      <c r="C32" s="55">
        <v>830.79600000000005</v>
      </c>
      <c r="D32" s="20">
        <v>3785552665</v>
      </c>
    </row>
    <row r="33" spans="1:4" ht="24">
      <c r="A33" s="53">
        <v>514</v>
      </c>
      <c r="B33" s="54" t="s">
        <v>282</v>
      </c>
      <c r="C33" s="55">
        <v>838.37300000000005</v>
      </c>
      <c r="D33" s="20">
        <v>2605661339</v>
      </c>
    </row>
    <row r="34" spans="1:4" ht="24">
      <c r="A34" s="53">
        <v>419</v>
      </c>
      <c r="B34" s="54" t="s">
        <v>239</v>
      </c>
      <c r="C34" s="55">
        <v>440.09199999999998</v>
      </c>
      <c r="D34" s="20">
        <v>1688058836</v>
      </c>
    </row>
    <row r="35" spans="1:4" ht="24">
      <c r="A35" s="53">
        <v>414</v>
      </c>
      <c r="B35" s="54" t="s">
        <v>261</v>
      </c>
      <c r="C35" s="55">
        <v>554.83000000000004</v>
      </c>
      <c r="D35" s="20">
        <v>3638326568</v>
      </c>
    </row>
    <row r="36" spans="1:4" ht="24">
      <c r="A36" s="53">
        <v>336</v>
      </c>
      <c r="B36" s="54" t="s">
        <v>236</v>
      </c>
      <c r="C36" s="55">
        <v>600.327</v>
      </c>
      <c r="D36" s="20">
        <v>2439163877</v>
      </c>
    </row>
    <row r="37" spans="1:4" ht="24">
      <c r="A37" s="53">
        <v>644</v>
      </c>
      <c r="B37" s="54" t="s">
        <v>202</v>
      </c>
      <c r="C37" s="55">
        <v>838.32600000000002</v>
      </c>
      <c r="D37" s="20">
        <v>6249320011</v>
      </c>
    </row>
    <row r="38" spans="1:4" ht="24">
      <c r="A38" s="53">
        <v>611</v>
      </c>
      <c r="B38" s="54" t="s">
        <v>172</v>
      </c>
      <c r="C38" s="59">
        <v>1080.326</v>
      </c>
      <c r="D38" s="20">
        <v>4375632215</v>
      </c>
    </row>
    <row r="39" spans="1:4" ht="24">
      <c r="A39" s="53">
        <v>612</v>
      </c>
      <c r="B39" s="54" t="s">
        <v>171</v>
      </c>
      <c r="C39" s="59">
        <v>1055.279</v>
      </c>
      <c r="D39" s="20">
        <v>1972540463</v>
      </c>
    </row>
    <row r="40" spans="1:4" ht="24">
      <c r="A40" s="53">
        <v>614</v>
      </c>
      <c r="B40" s="54" t="s">
        <v>185</v>
      </c>
      <c r="C40" s="55">
        <v>944.63400000000001</v>
      </c>
      <c r="D40" s="20">
        <v>2242280309</v>
      </c>
    </row>
    <row r="41" spans="1:4" ht="24">
      <c r="A41" s="53">
        <v>321</v>
      </c>
      <c r="B41" s="54" t="s">
        <v>203</v>
      </c>
      <c r="C41" s="55">
        <v>824.601</v>
      </c>
      <c r="D41" s="20">
        <v>456253646</v>
      </c>
    </row>
    <row r="42" spans="1:4" ht="24">
      <c r="A42" s="53">
        <v>326</v>
      </c>
      <c r="B42" s="54" t="s">
        <v>283</v>
      </c>
      <c r="C42" s="55">
        <v>796.76300000000003</v>
      </c>
      <c r="D42" s="20">
        <v>1652487745</v>
      </c>
    </row>
    <row r="43" spans="1:4" ht="24">
      <c r="A43" s="53">
        <v>437</v>
      </c>
      <c r="B43" s="54" t="s">
        <v>193</v>
      </c>
      <c r="C43" s="55">
        <v>890.84199999999998</v>
      </c>
      <c r="D43" s="20">
        <v>1533940963</v>
      </c>
    </row>
    <row r="44" spans="1:4" ht="24">
      <c r="A44" s="53">
        <v>438</v>
      </c>
      <c r="B44" s="54" t="s">
        <v>284</v>
      </c>
      <c r="C44" s="55">
        <v>841.38699999999994</v>
      </c>
      <c r="D44" s="20">
        <v>2202577329</v>
      </c>
    </row>
    <row r="45" spans="1:4" ht="24">
      <c r="A45" s="53">
        <v>418</v>
      </c>
      <c r="B45" s="54" t="s">
        <v>191</v>
      </c>
      <c r="C45" s="55">
        <v>563.48900000000003</v>
      </c>
      <c r="D45" s="20">
        <v>3393654584</v>
      </c>
    </row>
    <row r="46" spans="1:4" ht="24">
      <c r="A46" s="56">
        <v>317</v>
      </c>
      <c r="B46" s="57" t="s">
        <v>201</v>
      </c>
      <c r="C46" s="58">
        <v>863.31700000000001</v>
      </c>
      <c r="D46" s="20">
        <v>946556998</v>
      </c>
    </row>
    <row r="47" spans="1:4" ht="24">
      <c r="A47" s="53">
        <v>536</v>
      </c>
      <c r="B47" s="54" t="s">
        <v>237</v>
      </c>
      <c r="C47" s="55">
        <v>689.76900000000001</v>
      </c>
      <c r="D47" s="20">
        <v>6945868013</v>
      </c>
    </row>
    <row r="48" spans="1:4" ht="24">
      <c r="A48" s="53">
        <v>539</v>
      </c>
      <c r="B48" s="54" t="s">
        <v>258</v>
      </c>
      <c r="C48" s="55">
        <v>600.63099999999997</v>
      </c>
      <c r="D48" s="20">
        <v>3103376623</v>
      </c>
    </row>
    <row r="49" spans="1:4" ht="24">
      <c r="A49" s="53">
        <v>643</v>
      </c>
      <c r="B49" s="54" t="s">
        <v>251</v>
      </c>
      <c r="C49" s="55">
        <v>649.12</v>
      </c>
      <c r="D49" s="20">
        <v>4921738526</v>
      </c>
    </row>
    <row r="50" spans="1:4" ht="24">
      <c r="A50" s="53">
        <v>617</v>
      </c>
      <c r="B50" s="54" t="s">
        <v>166</v>
      </c>
      <c r="C50" s="59">
        <v>1498.98</v>
      </c>
      <c r="D50" s="20">
        <v>1806719389</v>
      </c>
    </row>
    <row r="51" spans="1:4" ht="24">
      <c r="A51" s="53">
        <v>416</v>
      </c>
      <c r="B51" s="54" t="s">
        <v>195</v>
      </c>
      <c r="C51" s="55">
        <v>623.46900000000005</v>
      </c>
      <c r="D51" s="20">
        <v>2556577365</v>
      </c>
    </row>
    <row r="52" spans="1:4" ht="24">
      <c r="A52" s="53">
        <v>333</v>
      </c>
      <c r="B52" s="54" t="s">
        <v>285</v>
      </c>
      <c r="C52" s="55">
        <v>721.52499999999998</v>
      </c>
      <c r="D52" s="20">
        <v>1298448961</v>
      </c>
    </row>
    <row r="53" spans="1:4" ht="24">
      <c r="A53" s="53">
        <v>618</v>
      </c>
      <c r="B53" s="54" t="s">
        <v>188</v>
      </c>
      <c r="C53" s="55">
        <v>880.74400000000003</v>
      </c>
      <c r="D53" s="20">
        <v>2193563902</v>
      </c>
    </row>
    <row r="54" spans="1:4" ht="24">
      <c r="A54" s="53">
        <v>313</v>
      </c>
      <c r="B54" s="54" t="s">
        <v>271</v>
      </c>
      <c r="C54" s="55">
        <v>536.76499999999999</v>
      </c>
      <c r="D54" s="20">
        <v>1049852638</v>
      </c>
    </row>
    <row r="55" spans="1:4" ht="24">
      <c r="A55" s="53">
        <v>535</v>
      </c>
      <c r="B55" s="54" t="s">
        <v>223</v>
      </c>
      <c r="C55" s="55">
        <v>731.81200000000001</v>
      </c>
      <c r="D55" s="20">
        <v>5544082966</v>
      </c>
    </row>
    <row r="56" spans="1:4" ht="24">
      <c r="A56" s="53">
        <v>327</v>
      </c>
      <c r="B56" s="54" t="s">
        <v>247</v>
      </c>
      <c r="C56" s="55">
        <v>631.11</v>
      </c>
      <c r="D56" s="20">
        <v>1037823437</v>
      </c>
    </row>
    <row r="57" spans="1:4" ht="24">
      <c r="A57" s="53">
        <v>314</v>
      </c>
      <c r="B57" s="54" t="s">
        <v>260</v>
      </c>
      <c r="C57" s="55">
        <v>585.505</v>
      </c>
      <c r="D57" s="20">
        <v>2304304359</v>
      </c>
    </row>
    <row r="58" spans="1:4" ht="24">
      <c r="A58" s="53">
        <v>519</v>
      </c>
      <c r="B58" s="54" t="s">
        <v>219</v>
      </c>
      <c r="C58" s="55">
        <v>806.99</v>
      </c>
      <c r="D58" s="20">
        <v>4609861272</v>
      </c>
    </row>
    <row r="59" spans="1:4" ht="24">
      <c r="A59" s="53">
        <v>511</v>
      </c>
      <c r="B59" s="54" t="s">
        <v>215</v>
      </c>
      <c r="C59" s="55">
        <v>774.96500000000003</v>
      </c>
      <c r="D59" s="20">
        <v>3660425293</v>
      </c>
    </row>
    <row r="60" spans="1:4" ht="24">
      <c r="A60" s="53">
        <v>515</v>
      </c>
      <c r="B60" s="54" t="s">
        <v>286</v>
      </c>
      <c r="C60" s="55">
        <v>826.49099999999999</v>
      </c>
      <c r="D60" s="20">
        <v>3724488764</v>
      </c>
    </row>
    <row r="61" spans="1:4" ht="24">
      <c r="A61" s="53">
        <v>324</v>
      </c>
      <c r="B61" s="54" t="s">
        <v>230</v>
      </c>
      <c r="C61" s="55">
        <v>603.14099999999996</v>
      </c>
      <c r="D61" s="20">
        <v>2002651336</v>
      </c>
    </row>
    <row r="62" spans="1:4" ht="24">
      <c r="A62" s="53">
        <v>622</v>
      </c>
      <c r="B62" s="54" t="s">
        <v>192</v>
      </c>
      <c r="C62" s="55">
        <v>913.52599999999995</v>
      </c>
      <c r="D62" s="20">
        <v>2639957062</v>
      </c>
    </row>
    <row r="63" spans="1:4" ht="24">
      <c r="A63" s="53">
        <v>639</v>
      </c>
      <c r="B63" s="54" t="s">
        <v>229</v>
      </c>
      <c r="C63" s="55">
        <v>744.57500000000005</v>
      </c>
      <c r="D63" s="20">
        <v>2222626584</v>
      </c>
    </row>
    <row r="64" spans="1:4" ht="24">
      <c r="A64" s="53">
        <v>633</v>
      </c>
      <c r="B64" s="54" t="s">
        <v>232</v>
      </c>
      <c r="C64" s="55">
        <v>714.72400000000005</v>
      </c>
      <c r="D64" s="20">
        <v>1348553253</v>
      </c>
    </row>
    <row r="65" spans="1:4" ht="24">
      <c r="A65" s="53">
        <v>312</v>
      </c>
      <c r="B65" s="54" t="s">
        <v>270</v>
      </c>
      <c r="C65" s="55">
        <v>557.19200000000001</v>
      </c>
      <c r="D65" s="20">
        <v>1880891403</v>
      </c>
    </row>
    <row r="66" spans="1:4" ht="24">
      <c r="A66" s="53">
        <v>635</v>
      </c>
      <c r="B66" s="54" t="s">
        <v>200</v>
      </c>
      <c r="C66" s="55">
        <v>883.61</v>
      </c>
      <c r="D66" s="20">
        <v>6560568215</v>
      </c>
    </row>
    <row r="67" spans="1:4" ht="24">
      <c r="A67" s="53">
        <v>331</v>
      </c>
      <c r="B67" s="54" t="s">
        <v>265</v>
      </c>
      <c r="C67" s="55">
        <v>536.827</v>
      </c>
      <c r="D67" s="20">
        <v>994758501</v>
      </c>
    </row>
    <row r="68" spans="1:4" ht="24">
      <c r="A68" s="53">
        <v>426</v>
      </c>
      <c r="B68" s="54" t="s">
        <v>183</v>
      </c>
      <c r="C68" s="55">
        <v>960.971</v>
      </c>
      <c r="D68" s="20">
        <v>1624636968</v>
      </c>
    </row>
    <row r="69" spans="1:4" ht="24">
      <c r="A69" s="53">
        <v>335</v>
      </c>
      <c r="B69" s="54" t="s">
        <v>238</v>
      </c>
      <c r="C69" s="55">
        <v>631.80200000000002</v>
      </c>
      <c r="D69" s="20">
        <v>2763952440</v>
      </c>
    </row>
    <row r="70" spans="1:4" ht="24">
      <c r="A70" s="53">
        <v>431</v>
      </c>
      <c r="B70" s="54" t="s">
        <v>198</v>
      </c>
      <c r="C70" s="55">
        <v>861.41800000000001</v>
      </c>
      <c r="D70" s="20">
        <v>1812487222</v>
      </c>
    </row>
    <row r="71" spans="1:4" ht="24">
      <c r="A71" s="53">
        <v>435</v>
      </c>
      <c r="B71" s="54" t="s">
        <v>287</v>
      </c>
      <c r="C71" s="55">
        <v>749.25199999999995</v>
      </c>
      <c r="D71" s="20">
        <v>2969911457</v>
      </c>
    </row>
    <row r="72" spans="1:4" ht="24">
      <c r="A72" s="53">
        <v>523</v>
      </c>
      <c r="B72" s="54" t="s">
        <v>208</v>
      </c>
      <c r="C72" s="55">
        <v>765.85</v>
      </c>
      <c r="D72" s="20">
        <v>5275173804</v>
      </c>
    </row>
    <row r="73" spans="1:4" ht="24">
      <c r="A73" s="53">
        <v>528</v>
      </c>
      <c r="B73" s="54" t="s">
        <v>234</v>
      </c>
      <c r="C73" s="55">
        <v>668.21699999999998</v>
      </c>
      <c r="D73" s="20">
        <v>3614318238</v>
      </c>
    </row>
    <row r="74" spans="1:4" ht="24">
      <c r="A74" s="53">
        <v>524</v>
      </c>
      <c r="B74" s="54" t="s">
        <v>249</v>
      </c>
      <c r="C74" s="55">
        <v>650.26800000000003</v>
      </c>
      <c r="D74" s="20">
        <v>4501726331</v>
      </c>
    </row>
    <row r="75" spans="1:4" ht="24">
      <c r="A75" s="53">
        <v>638</v>
      </c>
      <c r="B75" s="54" t="s">
        <v>228</v>
      </c>
      <c r="C75" s="55">
        <v>762.71299999999997</v>
      </c>
      <c r="D75" s="20">
        <v>3090196677</v>
      </c>
    </row>
    <row r="76" spans="1:4" ht="24">
      <c r="A76" s="53">
        <v>636</v>
      </c>
      <c r="B76" s="54" t="s">
        <v>245</v>
      </c>
      <c r="C76" s="55">
        <v>681.38300000000004</v>
      </c>
      <c r="D76" s="20">
        <v>1530592817</v>
      </c>
    </row>
    <row r="77" spans="1:4" ht="24">
      <c r="A77" s="53">
        <v>641</v>
      </c>
      <c r="B77" s="54" t="s">
        <v>224</v>
      </c>
      <c r="C77" s="55">
        <v>753.79899999999998</v>
      </c>
      <c r="D77" s="20">
        <v>4448240609</v>
      </c>
    </row>
    <row r="78" spans="1:4" ht="24">
      <c r="A78" s="53">
        <v>642</v>
      </c>
      <c r="B78" s="54" t="s">
        <v>288</v>
      </c>
      <c r="C78" s="55">
        <v>660.03599999999994</v>
      </c>
      <c r="D78" s="20">
        <v>1761068728</v>
      </c>
    </row>
    <row r="79" spans="1:4" ht="24">
      <c r="A79" s="53">
        <v>311</v>
      </c>
      <c r="B79" s="54" t="s">
        <v>214</v>
      </c>
      <c r="C79" s="55">
        <v>718.5</v>
      </c>
      <c r="D79" s="20">
        <v>1383993728</v>
      </c>
    </row>
    <row r="80" spans="1:4" ht="24">
      <c r="A80" s="56">
        <v>319</v>
      </c>
      <c r="B80" s="57" t="s">
        <v>272</v>
      </c>
      <c r="C80" s="58">
        <v>512.75699999999995</v>
      </c>
      <c r="D80" s="20">
        <v>1249744605</v>
      </c>
    </row>
    <row r="81" spans="1:4" ht="24">
      <c r="A81" s="53">
        <v>318</v>
      </c>
      <c r="B81" s="54" t="s">
        <v>268</v>
      </c>
      <c r="C81" s="55">
        <v>518.55200000000002</v>
      </c>
      <c r="D81" s="20">
        <v>950402637</v>
      </c>
    </row>
    <row r="82" spans="1:4" ht="24">
      <c r="A82" s="53">
        <v>417</v>
      </c>
      <c r="B82" s="54" t="s">
        <v>176</v>
      </c>
      <c r="C82" s="55">
        <v>744.57799999999997</v>
      </c>
      <c r="D82" s="20">
        <v>1947250357</v>
      </c>
    </row>
    <row r="83" spans="1:4" ht="24">
      <c r="A83" s="53">
        <v>337</v>
      </c>
      <c r="B83" s="54" t="s">
        <v>263</v>
      </c>
      <c r="C83" s="55">
        <v>527.11</v>
      </c>
      <c r="D83" s="20">
        <v>2463770612</v>
      </c>
    </row>
    <row r="84" spans="1:4" ht="24">
      <c r="A84" s="53">
        <v>415</v>
      </c>
      <c r="B84" s="54" t="s">
        <v>210</v>
      </c>
      <c r="C84" s="55">
        <v>574.74300000000005</v>
      </c>
      <c r="D84" s="20">
        <v>6055682425</v>
      </c>
    </row>
    <row r="85" spans="1:4" ht="24">
      <c r="A85" s="53">
        <v>619</v>
      </c>
      <c r="B85" s="54" t="s">
        <v>289</v>
      </c>
      <c r="C85" s="59">
        <v>1041.9480000000001</v>
      </c>
      <c r="D85" s="20">
        <v>1552894567</v>
      </c>
    </row>
    <row r="86" spans="1:4" ht="24">
      <c r="A86" s="53">
        <v>432</v>
      </c>
      <c r="B86" s="54" t="s">
        <v>173</v>
      </c>
      <c r="C86" s="55">
        <v>953.30899999999997</v>
      </c>
      <c r="D86" s="20">
        <v>1574016267</v>
      </c>
    </row>
    <row r="87" spans="1:4" ht="24">
      <c r="A87" s="53">
        <v>433</v>
      </c>
      <c r="B87" s="54" t="s">
        <v>259</v>
      </c>
      <c r="C87" s="55">
        <v>585.39499999999998</v>
      </c>
      <c r="D87" s="20">
        <v>3177129290</v>
      </c>
    </row>
    <row r="88" spans="1:4" ht="24">
      <c r="A88" s="53">
        <v>513</v>
      </c>
      <c r="B88" s="54" t="s">
        <v>187</v>
      </c>
      <c r="C88" s="59">
        <v>1003.095</v>
      </c>
      <c r="D88" s="20">
        <v>2777199411</v>
      </c>
    </row>
    <row r="89" spans="1:4" ht="24">
      <c r="A89" s="53">
        <v>441</v>
      </c>
      <c r="B89" s="54" t="s">
        <v>190</v>
      </c>
      <c r="C89" s="55">
        <v>915.81299999999999</v>
      </c>
      <c r="D89" s="20">
        <v>1996469645</v>
      </c>
    </row>
    <row r="90" spans="1:4" ht="24">
      <c r="A90" s="53">
        <v>445</v>
      </c>
      <c r="B90" s="54" t="s">
        <v>290</v>
      </c>
      <c r="C90" s="59">
        <v>1050.7570000000001</v>
      </c>
      <c r="D90" s="20">
        <v>2538519856</v>
      </c>
    </row>
    <row r="91" spans="1:4" ht="24">
      <c r="A91" s="53">
        <v>325</v>
      </c>
      <c r="B91" s="54" t="s">
        <v>291</v>
      </c>
      <c r="C91" s="55">
        <v>837.59100000000001</v>
      </c>
      <c r="D91" s="20">
        <v>1428980582</v>
      </c>
    </row>
    <row r="92" spans="1:4" ht="24">
      <c r="A92" s="53">
        <v>328</v>
      </c>
      <c r="B92" s="54" t="s">
        <v>292</v>
      </c>
      <c r="C92" s="55">
        <v>604.32600000000002</v>
      </c>
      <c r="D92" s="20">
        <v>2265182029</v>
      </c>
    </row>
    <row r="93" spans="1:4" ht="24">
      <c r="A93" s="53">
        <v>329</v>
      </c>
      <c r="B93" s="54" t="s">
        <v>293</v>
      </c>
      <c r="C93" s="55">
        <v>673.54</v>
      </c>
      <c r="D93" s="20">
        <v>2893846250</v>
      </c>
    </row>
    <row r="94" spans="1:4" ht="24">
      <c r="A94" s="53">
        <v>615</v>
      </c>
      <c r="B94" s="54" t="s">
        <v>169</v>
      </c>
      <c r="C94" s="59">
        <v>1493.0940000000001</v>
      </c>
      <c r="D94" s="20">
        <v>1213262311</v>
      </c>
    </row>
    <row r="95" spans="1:4" ht="24">
      <c r="A95" s="53">
        <v>646</v>
      </c>
      <c r="B95" s="54" t="s">
        <v>241</v>
      </c>
      <c r="C95" s="55">
        <v>678.7</v>
      </c>
      <c r="D95" s="20">
        <v>1698831960</v>
      </c>
    </row>
    <row r="96" spans="1:4" ht="24">
      <c r="A96" s="53">
        <v>629</v>
      </c>
      <c r="B96" s="54" t="s">
        <v>264</v>
      </c>
      <c r="C96" s="55">
        <v>534.08699999999999</v>
      </c>
      <c r="D96" s="20">
        <v>1994726698</v>
      </c>
    </row>
    <row r="97" spans="1:4" ht="24">
      <c r="A97" s="53">
        <v>413</v>
      </c>
      <c r="B97" s="54" t="s">
        <v>179</v>
      </c>
      <c r="C97" s="55">
        <v>915.24199999999996</v>
      </c>
      <c r="D97" s="20">
        <v>1318106863</v>
      </c>
    </row>
    <row r="98" spans="1:4" ht="24">
      <c r="A98" s="53">
        <v>448</v>
      </c>
      <c r="B98" s="54" t="s">
        <v>252</v>
      </c>
      <c r="C98" s="55">
        <v>603.35799999999995</v>
      </c>
      <c r="D98" s="20">
        <v>2119827796</v>
      </c>
    </row>
    <row r="99" spans="1:4" ht="24">
      <c r="A99" s="53">
        <v>634</v>
      </c>
      <c r="B99" s="54" t="s">
        <v>222</v>
      </c>
      <c r="C99" s="55">
        <v>762.27499999999998</v>
      </c>
      <c r="D99" s="20">
        <v>3125199114</v>
      </c>
    </row>
    <row r="100" spans="1:4" ht="24">
      <c r="A100" s="53">
        <v>623</v>
      </c>
      <c r="B100" s="54" t="s">
        <v>235</v>
      </c>
      <c r="C100" s="55">
        <v>709.95100000000002</v>
      </c>
      <c r="D100" s="20">
        <v>2572797135</v>
      </c>
    </row>
    <row r="101" spans="1:4" ht="24">
      <c r="A101" s="53">
        <v>624</v>
      </c>
      <c r="B101" s="54" t="s">
        <v>294</v>
      </c>
      <c r="C101" s="55">
        <v>679.35299999999995</v>
      </c>
      <c r="D101" s="20">
        <v>2747517393</v>
      </c>
    </row>
    <row r="102" spans="1:4" ht="24">
      <c r="A102" s="53">
        <v>557</v>
      </c>
      <c r="B102" s="54" t="s">
        <v>266</v>
      </c>
      <c r="C102" s="55">
        <v>590.94799999999998</v>
      </c>
      <c r="D102" s="20">
        <v>11084323979</v>
      </c>
    </row>
    <row r="103" spans="1:4" ht="24">
      <c r="A103" s="53">
        <v>558</v>
      </c>
      <c r="B103" s="54" t="s">
        <v>267</v>
      </c>
      <c r="C103" s="55">
        <v>556.34</v>
      </c>
      <c r="D103" s="20">
        <v>3153060566</v>
      </c>
    </row>
    <row r="104" spans="1:4" ht="24">
      <c r="A104" s="53">
        <v>447</v>
      </c>
      <c r="B104" s="54" t="s">
        <v>269</v>
      </c>
      <c r="C104" s="55">
        <v>547.51199999999994</v>
      </c>
      <c r="D104" s="20">
        <v>3553393811</v>
      </c>
    </row>
    <row r="105" spans="1:4" ht="24">
      <c r="A105" s="53">
        <v>631</v>
      </c>
      <c r="B105" s="54" t="s">
        <v>246</v>
      </c>
      <c r="C105" s="55">
        <v>681.58500000000004</v>
      </c>
      <c r="D105" s="20">
        <v>2837929012</v>
      </c>
    </row>
    <row r="106" spans="1:4" ht="24">
      <c r="A106" s="60">
        <v>632</v>
      </c>
      <c r="B106" s="61" t="s">
        <v>250</v>
      </c>
      <c r="C106" s="62">
        <v>678.73699999999997</v>
      </c>
      <c r="D106" s="20">
        <v>3455141203</v>
      </c>
    </row>
    <row r="107" spans="1:4" ht="21.75">
      <c r="A107" s="48"/>
      <c r="B107" s="48" t="s">
        <v>295</v>
      </c>
      <c r="C107" s="49">
        <v>79332.581999999995</v>
      </c>
      <c r="D107" s="49">
        <f>SUM(D3:D106)</f>
        <v>309891127524</v>
      </c>
    </row>
  </sheetData>
  <sortState xmlns:xlrd2="http://schemas.microsoft.com/office/spreadsheetml/2017/richdata2" ref="A3:D106">
    <sortCondition ref="B3:B106"/>
  </sortState>
  <mergeCells count="2">
    <mergeCell ref="B1:B2"/>
    <mergeCell ref="D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98A5-8C79-4740-9112-E9EE49B0677C}">
  <dimension ref="A1:AW102"/>
  <sheetViews>
    <sheetView workbookViewId="0">
      <selection activeCell="F8" sqref="F8"/>
    </sheetView>
  </sheetViews>
  <sheetFormatPr defaultRowHeight="15"/>
  <cols>
    <col min="29" max="29" width="21.5703125" customWidth="1"/>
    <col min="30" max="30" width="25.7109375" customWidth="1"/>
  </cols>
  <sheetData>
    <row r="1" spans="1:49"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296</v>
      </c>
      <c r="I1" t="s">
        <v>297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298</v>
      </c>
      <c r="Y1" t="s">
        <v>299</v>
      </c>
      <c r="Z1" t="s">
        <v>300</v>
      </c>
      <c r="AA1" t="s">
        <v>301</v>
      </c>
      <c r="AB1" t="s">
        <v>302</v>
      </c>
      <c r="AC1" t="s">
        <v>20</v>
      </c>
      <c r="AD1" t="s">
        <v>21</v>
      </c>
      <c r="AE1" t="s">
        <v>22</v>
      </c>
      <c r="AF1" t="s">
        <v>303</v>
      </c>
      <c r="AG1" t="s">
        <v>304</v>
      </c>
      <c r="AH1" t="s">
        <v>305</v>
      </c>
      <c r="AI1" t="s">
        <v>23</v>
      </c>
      <c r="AJ1" t="s">
        <v>306</v>
      </c>
      <c r="AK1" t="s">
        <v>307</v>
      </c>
      <c r="AL1" t="s">
        <v>308</v>
      </c>
      <c r="AM1" t="s">
        <v>309</v>
      </c>
      <c r="AN1" t="s">
        <v>310</v>
      </c>
      <c r="AO1" t="s">
        <v>311</v>
      </c>
      <c r="AP1" t="s">
        <v>312</v>
      </c>
      <c r="AQ1" t="s">
        <v>313</v>
      </c>
      <c r="AR1" t="s">
        <v>314</v>
      </c>
      <c r="AS1" t="s">
        <v>315</v>
      </c>
      <c r="AT1" t="s">
        <v>24</v>
      </c>
      <c r="AU1" t="s">
        <v>25</v>
      </c>
      <c r="AV1" t="s">
        <v>26</v>
      </c>
      <c r="AW1" t="s">
        <v>27</v>
      </c>
    </row>
    <row r="2" spans="1:49">
      <c r="A2">
        <v>0</v>
      </c>
      <c r="B2" t="s">
        <v>316</v>
      </c>
      <c r="C2">
        <v>32304</v>
      </c>
      <c r="D2" t="s">
        <v>317</v>
      </c>
      <c r="E2">
        <v>706.51900000000001</v>
      </c>
      <c r="F2">
        <v>144876</v>
      </c>
      <c r="G2">
        <v>2.3249</v>
      </c>
      <c r="H2">
        <v>0.61</v>
      </c>
      <c r="I2">
        <v>7.54</v>
      </c>
      <c r="J2">
        <v>377.01600000000002</v>
      </c>
      <c r="K2">
        <v>2</v>
      </c>
      <c r="L2">
        <v>8</v>
      </c>
      <c r="M2">
        <v>3.8</v>
      </c>
      <c r="N2">
        <v>3.5</v>
      </c>
      <c r="O2">
        <v>5</v>
      </c>
      <c r="P2">
        <v>6.8029999999999999</v>
      </c>
      <c r="Q2">
        <v>6</v>
      </c>
      <c r="R2">
        <v>8</v>
      </c>
      <c r="S2">
        <v>7.5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117197.82</v>
      </c>
      <c r="AD2">
        <v>11469.8</v>
      </c>
      <c r="AE2">
        <v>154243.35999999999</v>
      </c>
      <c r="AF2">
        <v>4395</v>
      </c>
      <c r="AG2">
        <v>8358</v>
      </c>
      <c r="AH2">
        <v>73.7</v>
      </c>
      <c r="AI2">
        <v>128960</v>
      </c>
      <c r="AJ2">
        <v>42539</v>
      </c>
      <c r="AK2">
        <v>42608.160000000003</v>
      </c>
      <c r="AL2">
        <v>9247</v>
      </c>
      <c r="AM2">
        <v>159.4</v>
      </c>
      <c r="AN2">
        <v>0</v>
      </c>
      <c r="AO2">
        <v>4968</v>
      </c>
      <c r="AP2">
        <v>416</v>
      </c>
      <c r="AQ2">
        <v>13606</v>
      </c>
      <c r="AR2">
        <v>125</v>
      </c>
      <c r="AS2">
        <v>0</v>
      </c>
      <c r="AT2">
        <v>38.839193596870601</v>
      </c>
      <c r="AU2">
        <v>283.533951274282</v>
      </c>
      <c r="AV2">
        <v>1.51929767442536E-2</v>
      </c>
      <c r="AW2">
        <v>32.891799195593698</v>
      </c>
    </row>
    <row r="3" spans="1:49">
      <c r="A3">
        <v>1</v>
      </c>
      <c r="B3" t="s">
        <v>318</v>
      </c>
      <c r="C3">
        <v>41102</v>
      </c>
      <c r="D3" t="s">
        <v>319</v>
      </c>
      <c r="E3">
        <v>566.44399999999996</v>
      </c>
      <c r="F3">
        <v>1432752</v>
      </c>
      <c r="G3">
        <v>3.41438461538461</v>
      </c>
      <c r="H3">
        <v>0.77</v>
      </c>
      <c r="I3">
        <v>7.98</v>
      </c>
      <c r="J3">
        <v>140.483</v>
      </c>
      <c r="K3">
        <v>1</v>
      </c>
      <c r="L3">
        <v>12</v>
      </c>
      <c r="M3">
        <v>7.125</v>
      </c>
      <c r="N3">
        <v>3.5</v>
      </c>
      <c r="O3">
        <v>7.4</v>
      </c>
      <c r="P3">
        <v>272.99900000000002</v>
      </c>
      <c r="Q3">
        <v>2</v>
      </c>
      <c r="R3">
        <v>18</v>
      </c>
      <c r="S3">
        <v>7</v>
      </c>
      <c r="T3">
        <v>3.4655</v>
      </c>
      <c r="U3">
        <v>5.6982499999999998</v>
      </c>
      <c r="V3">
        <v>13750</v>
      </c>
      <c r="W3">
        <v>0</v>
      </c>
      <c r="X3">
        <v>0</v>
      </c>
      <c r="Y3">
        <v>141</v>
      </c>
      <c r="Z3">
        <v>4</v>
      </c>
      <c r="AA3">
        <v>1635</v>
      </c>
      <c r="AB3">
        <v>4</v>
      </c>
      <c r="AC3">
        <v>310071.32</v>
      </c>
      <c r="AD3">
        <v>106000.9</v>
      </c>
      <c r="AE3">
        <v>74971.626999999993</v>
      </c>
      <c r="AF3">
        <v>908.4</v>
      </c>
      <c r="AG3">
        <v>74881</v>
      </c>
      <c r="AH3">
        <v>16</v>
      </c>
      <c r="AI3">
        <v>47034.898999999998</v>
      </c>
      <c r="AJ3">
        <v>21826</v>
      </c>
      <c r="AK3">
        <v>469347.18800000002</v>
      </c>
      <c r="AL3">
        <v>8578.15</v>
      </c>
      <c r="AM3">
        <v>113.3</v>
      </c>
      <c r="AN3">
        <v>0</v>
      </c>
      <c r="AO3">
        <v>794</v>
      </c>
      <c r="AP3">
        <v>146</v>
      </c>
      <c r="AQ3">
        <v>4596</v>
      </c>
      <c r="AR3">
        <v>196</v>
      </c>
      <c r="AS3">
        <v>0</v>
      </c>
      <c r="AT3">
        <v>65.1601096714367</v>
      </c>
      <c r="AU3">
        <v>1402.7974272255501</v>
      </c>
      <c r="AV3">
        <v>9.2167561806034096E-2</v>
      </c>
      <c r="AW3">
        <v>26.720262019141199</v>
      </c>
    </row>
    <row r="4" spans="1:49">
      <c r="A4">
        <v>2</v>
      </c>
      <c r="B4" t="s">
        <v>320</v>
      </c>
      <c r="C4">
        <v>44401</v>
      </c>
      <c r="D4" t="s">
        <v>321</v>
      </c>
      <c r="E4">
        <v>960.04600000000005</v>
      </c>
      <c r="F4">
        <v>322814</v>
      </c>
      <c r="G4">
        <v>2.3801666666666601</v>
      </c>
      <c r="H4">
        <v>0.49</v>
      </c>
      <c r="I4">
        <v>7.8</v>
      </c>
      <c r="J4">
        <v>311.846</v>
      </c>
      <c r="K4">
        <v>2</v>
      </c>
      <c r="L4">
        <v>6</v>
      </c>
      <c r="M4">
        <v>3.25</v>
      </c>
      <c r="N4">
        <v>3.5</v>
      </c>
      <c r="O4">
        <v>5.3079999999999998</v>
      </c>
      <c r="P4">
        <v>27.634</v>
      </c>
      <c r="Q4">
        <v>2</v>
      </c>
      <c r="R4">
        <v>8</v>
      </c>
      <c r="S4">
        <v>4.5</v>
      </c>
      <c r="T4">
        <v>3.4166666666666599</v>
      </c>
      <c r="U4">
        <v>5.16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36386.35</v>
      </c>
      <c r="AD4">
        <v>940</v>
      </c>
      <c r="AE4">
        <v>56313.61</v>
      </c>
      <c r="AF4">
        <v>550</v>
      </c>
      <c r="AG4">
        <v>6840</v>
      </c>
      <c r="AH4">
        <v>8</v>
      </c>
      <c r="AI4">
        <v>27649</v>
      </c>
      <c r="AJ4">
        <v>24175</v>
      </c>
      <c r="AK4">
        <v>177102</v>
      </c>
      <c r="AL4">
        <v>3431.8999999999901</v>
      </c>
      <c r="AM4">
        <v>131.38</v>
      </c>
      <c r="AN4">
        <v>0</v>
      </c>
      <c r="AO4">
        <v>244</v>
      </c>
      <c r="AP4">
        <v>118</v>
      </c>
      <c r="AQ4">
        <v>178</v>
      </c>
      <c r="AR4">
        <v>21</v>
      </c>
      <c r="AS4">
        <v>0</v>
      </c>
      <c r="AT4">
        <v>78.650462177691793</v>
      </c>
      <c r="AU4">
        <v>424.25197906452098</v>
      </c>
      <c r="AV4">
        <v>-0.13935526567274201</v>
      </c>
      <c r="AW4">
        <v>15.0729196875164</v>
      </c>
    </row>
    <row r="5" spans="1:49">
      <c r="A5">
        <v>3</v>
      </c>
      <c r="B5" t="s">
        <v>322</v>
      </c>
      <c r="C5">
        <v>64702</v>
      </c>
      <c r="D5" t="s">
        <v>323</v>
      </c>
      <c r="E5">
        <v>924.17</v>
      </c>
      <c r="F5">
        <v>289107</v>
      </c>
      <c r="G5">
        <v>2.3661363636363602</v>
      </c>
      <c r="H5">
        <v>0.49</v>
      </c>
      <c r="I5">
        <v>7.95</v>
      </c>
      <c r="J5">
        <v>700.18799999999999</v>
      </c>
      <c r="K5">
        <v>2</v>
      </c>
      <c r="L5">
        <v>8</v>
      </c>
      <c r="M5">
        <v>3.63636363636363</v>
      </c>
      <c r="N5">
        <v>3.5</v>
      </c>
      <c r="O5">
        <v>8</v>
      </c>
      <c r="P5">
        <v>6.7270000000000003</v>
      </c>
      <c r="Q5">
        <v>4</v>
      </c>
      <c r="R5">
        <v>6</v>
      </c>
      <c r="S5">
        <v>5.1666666666666599</v>
      </c>
      <c r="T5">
        <v>3.5</v>
      </c>
      <c r="U5">
        <v>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173977.03659999999</v>
      </c>
      <c r="AD5">
        <v>158165.5</v>
      </c>
      <c r="AE5">
        <v>98765.207999999999</v>
      </c>
      <c r="AF5">
        <v>2427.0500000000002</v>
      </c>
      <c r="AG5">
        <v>11230</v>
      </c>
      <c r="AH5">
        <v>101.5</v>
      </c>
      <c r="AI5">
        <v>12550</v>
      </c>
      <c r="AJ5">
        <v>20433</v>
      </c>
      <c r="AK5">
        <v>25217.748</v>
      </c>
      <c r="AL5">
        <v>7695.65</v>
      </c>
      <c r="AM5">
        <v>415.42999999999898</v>
      </c>
      <c r="AN5">
        <v>6.1999999999999904</v>
      </c>
      <c r="AO5">
        <v>1274</v>
      </c>
      <c r="AP5">
        <v>319</v>
      </c>
      <c r="AQ5">
        <v>12565</v>
      </c>
      <c r="AR5">
        <v>58</v>
      </c>
      <c r="AS5">
        <v>0</v>
      </c>
      <c r="AT5">
        <v>175.121813074416</v>
      </c>
      <c r="AU5">
        <v>77.166004287364004</v>
      </c>
      <c r="AV5">
        <v>6.7111750108615406E-2</v>
      </c>
      <c r="AW5">
        <v>10.7007074421621</v>
      </c>
    </row>
    <row r="6" spans="1:49">
      <c r="A6">
        <v>4</v>
      </c>
      <c r="B6" t="s">
        <v>324</v>
      </c>
      <c r="C6">
        <v>51703</v>
      </c>
      <c r="D6" t="s">
        <v>325</v>
      </c>
      <c r="E6">
        <v>779.76499999999999</v>
      </c>
      <c r="F6">
        <v>221321</v>
      </c>
      <c r="G6">
        <v>2.2911818181818102</v>
      </c>
      <c r="H6">
        <v>0.54</v>
      </c>
      <c r="I6">
        <v>7.91</v>
      </c>
      <c r="J6">
        <v>442.81299999999999</v>
      </c>
      <c r="K6">
        <v>2</v>
      </c>
      <c r="L6">
        <v>10</v>
      </c>
      <c r="M6">
        <v>3.5454545454545401</v>
      </c>
      <c r="N6">
        <v>3.5</v>
      </c>
      <c r="O6">
        <v>5</v>
      </c>
      <c r="P6">
        <v>31.172999999999998</v>
      </c>
      <c r="Q6">
        <v>1</v>
      </c>
      <c r="R6">
        <v>10</v>
      </c>
      <c r="S6">
        <v>4.3333333333333304</v>
      </c>
      <c r="T6">
        <v>3.5</v>
      </c>
      <c r="U6">
        <v>4.3333333333333304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134063.04999999999</v>
      </c>
      <c r="AD6">
        <v>2779.5</v>
      </c>
      <c r="AE6">
        <v>230644.8137</v>
      </c>
      <c r="AF6">
        <v>2540</v>
      </c>
      <c r="AG6">
        <v>30620</v>
      </c>
      <c r="AH6">
        <v>71.2</v>
      </c>
      <c r="AI6">
        <v>176868</v>
      </c>
      <c r="AJ6">
        <v>10451.5</v>
      </c>
      <c r="AK6">
        <v>26295.063999999998</v>
      </c>
      <c r="AL6">
        <v>21880.199999999899</v>
      </c>
      <c r="AM6">
        <v>1007.36999999999</v>
      </c>
      <c r="AN6">
        <v>0</v>
      </c>
      <c r="AO6">
        <v>3021</v>
      </c>
      <c r="AP6">
        <v>696</v>
      </c>
      <c r="AQ6">
        <v>9301</v>
      </c>
      <c r="AR6">
        <v>127</v>
      </c>
      <c r="AS6">
        <v>4</v>
      </c>
      <c r="AT6">
        <v>79.0816442231596</v>
      </c>
      <c r="AU6">
        <v>149.37774638176501</v>
      </c>
      <c r="AV6">
        <v>9.1833387223499E-2</v>
      </c>
      <c r="AW6">
        <v>9.5637712968243793</v>
      </c>
    </row>
    <row r="7" spans="1:49">
      <c r="A7">
        <v>5</v>
      </c>
      <c r="B7" t="s">
        <v>326</v>
      </c>
      <c r="C7">
        <v>62103</v>
      </c>
      <c r="D7" t="s">
        <v>327</v>
      </c>
      <c r="E7">
        <v>562.20600000000002</v>
      </c>
      <c r="F7">
        <v>398529</v>
      </c>
      <c r="G7">
        <v>2.9287142857142801</v>
      </c>
      <c r="H7">
        <v>0.47</v>
      </c>
      <c r="I7">
        <v>7.83</v>
      </c>
      <c r="J7">
        <v>316.35599999999999</v>
      </c>
      <c r="K7">
        <v>2</v>
      </c>
      <c r="L7">
        <v>7</v>
      </c>
      <c r="M7">
        <v>3.9166666666666599</v>
      </c>
      <c r="N7">
        <v>3.5</v>
      </c>
      <c r="O7">
        <v>5</v>
      </c>
      <c r="P7">
        <v>162.82599999999999</v>
      </c>
      <c r="Q7">
        <v>4</v>
      </c>
      <c r="R7">
        <v>12</v>
      </c>
      <c r="S7">
        <v>6.375</v>
      </c>
      <c r="T7">
        <v>3.5</v>
      </c>
      <c r="U7">
        <v>4.2236666666666602</v>
      </c>
      <c r="V7">
        <v>0</v>
      </c>
      <c r="W7">
        <v>0</v>
      </c>
      <c r="X7">
        <v>3</v>
      </c>
      <c r="Y7">
        <v>0</v>
      </c>
      <c r="Z7">
        <v>0</v>
      </c>
      <c r="AA7">
        <v>3225</v>
      </c>
      <c r="AB7">
        <v>3</v>
      </c>
      <c r="AC7">
        <v>138015.25080000001</v>
      </c>
      <c r="AD7">
        <v>40127.300000000003</v>
      </c>
      <c r="AE7">
        <v>78775.320000000007</v>
      </c>
      <c r="AF7">
        <v>1106</v>
      </c>
      <c r="AG7">
        <v>43955.63</v>
      </c>
      <c r="AH7">
        <v>46.6</v>
      </c>
      <c r="AI7">
        <v>353774</v>
      </c>
      <c r="AJ7">
        <v>54368</v>
      </c>
      <c r="AK7">
        <v>83552.543900000004</v>
      </c>
      <c r="AL7">
        <v>6810.23</v>
      </c>
      <c r="AM7">
        <v>86</v>
      </c>
      <c r="AN7">
        <v>0</v>
      </c>
      <c r="AO7">
        <v>904</v>
      </c>
      <c r="AP7">
        <v>515</v>
      </c>
      <c r="AQ7">
        <v>4388</v>
      </c>
      <c r="AR7">
        <v>175</v>
      </c>
      <c r="AS7">
        <v>0</v>
      </c>
      <c r="AT7">
        <v>173.18398016954299</v>
      </c>
      <c r="AU7">
        <v>93.247018562500202</v>
      </c>
      <c r="AV7">
        <v>3.3359993611144202E-2</v>
      </c>
      <c r="AW7">
        <v>8.1327599331241398</v>
      </c>
    </row>
    <row r="8" spans="1:49">
      <c r="A8">
        <v>6</v>
      </c>
      <c r="B8" t="s">
        <v>328</v>
      </c>
      <c r="C8">
        <v>62702</v>
      </c>
      <c r="D8" t="s">
        <v>327</v>
      </c>
      <c r="E8">
        <v>687.24599999999998</v>
      </c>
      <c r="F8">
        <v>235162</v>
      </c>
      <c r="G8">
        <v>2.87744444444444</v>
      </c>
      <c r="H8">
        <v>0.54</v>
      </c>
      <c r="I8">
        <v>7.95</v>
      </c>
      <c r="J8">
        <v>433.46300000000002</v>
      </c>
      <c r="K8">
        <v>2</v>
      </c>
      <c r="L8">
        <v>10</v>
      </c>
      <c r="M8">
        <v>4.625</v>
      </c>
      <c r="N8">
        <v>3.5</v>
      </c>
      <c r="O8">
        <v>5.18</v>
      </c>
      <c r="P8">
        <v>17.640999999999998</v>
      </c>
      <c r="Q8">
        <v>4</v>
      </c>
      <c r="R8">
        <v>8</v>
      </c>
      <c r="S8">
        <v>5.1666666666666599</v>
      </c>
      <c r="T8">
        <v>3.5</v>
      </c>
      <c r="U8">
        <v>4.8536000000000001</v>
      </c>
      <c r="V8">
        <v>0</v>
      </c>
      <c r="W8">
        <v>0</v>
      </c>
      <c r="X8">
        <v>6</v>
      </c>
      <c r="Y8">
        <v>0</v>
      </c>
      <c r="Z8">
        <v>0</v>
      </c>
      <c r="AA8">
        <v>0</v>
      </c>
      <c r="AB8">
        <v>0</v>
      </c>
      <c r="AC8">
        <v>197092.86</v>
      </c>
      <c r="AD8">
        <v>3574.1</v>
      </c>
      <c r="AE8">
        <v>85664.592499999897</v>
      </c>
      <c r="AF8">
        <v>2124</v>
      </c>
      <c r="AG8">
        <v>2273</v>
      </c>
      <c r="AH8">
        <v>10.8</v>
      </c>
      <c r="AI8">
        <v>49189</v>
      </c>
      <c r="AJ8">
        <v>14142</v>
      </c>
      <c r="AK8">
        <v>3629.2766000000001</v>
      </c>
      <c r="AL8">
        <v>8828.7999999999993</v>
      </c>
      <c r="AM8">
        <v>192.39999999999901</v>
      </c>
      <c r="AN8">
        <v>0</v>
      </c>
      <c r="AO8">
        <v>2232</v>
      </c>
      <c r="AP8">
        <v>261</v>
      </c>
      <c r="AQ8">
        <v>1485</v>
      </c>
      <c r="AR8">
        <v>146</v>
      </c>
      <c r="AS8">
        <v>0</v>
      </c>
      <c r="AT8">
        <v>225.27785798079799</v>
      </c>
      <c r="AU8">
        <v>336.82463638865801</v>
      </c>
      <c r="AV8">
        <v>0.115675367993935</v>
      </c>
      <c r="AW8">
        <v>17.4776038092478</v>
      </c>
    </row>
    <row r="9" spans="1:49">
      <c r="A9">
        <v>7</v>
      </c>
      <c r="B9" t="s">
        <v>329</v>
      </c>
      <c r="C9">
        <v>62804</v>
      </c>
      <c r="D9" t="s">
        <v>327</v>
      </c>
      <c r="E9">
        <v>610.11</v>
      </c>
      <c r="F9">
        <v>225872</v>
      </c>
      <c r="G9">
        <v>2.38539999999999</v>
      </c>
      <c r="H9">
        <v>0.64</v>
      </c>
      <c r="I9">
        <v>7.9</v>
      </c>
      <c r="J9">
        <v>427.97699999999998</v>
      </c>
      <c r="K9">
        <v>1</v>
      </c>
      <c r="L9">
        <v>6</v>
      </c>
      <c r="M9">
        <v>3.4</v>
      </c>
      <c r="N9">
        <v>3.5</v>
      </c>
      <c r="O9">
        <v>5</v>
      </c>
      <c r="P9">
        <v>1.1399999999999999</v>
      </c>
      <c r="Q9">
        <v>4</v>
      </c>
      <c r="R9">
        <v>4</v>
      </c>
      <c r="S9">
        <v>4</v>
      </c>
      <c r="T9">
        <v>3.5</v>
      </c>
      <c r="U9">
        <v>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37196.050999999999</v>
      </c>
      <c r="AD9">
        <v>273</v>
      </c>
      <c r="AE9">
        <v>62430.588000000003</v>
      </c>
      <c r="AF9">
        <v>360</v>
      </c>
      <c r="AG9">
        <v>4435</v>
      </c>
      <c r="AH9">
        <v>29.4</v>
      </c>
      <c r="AI9">
        <v>46634.79</v>
      </c>
      <c r="AJ9">
        <v>11676</v>
      </c>
      <c r="AK9">
        <v>95502.35</v>
      </c>
      <c r="AL9">
        <v>6877.6</v>
      </c>
      <c r="AM9">
        <v>312.49999999999898</v>
      </c>
      <c r="AN9">
        <v>0</v>
      </c>
      <c r="AO9">
        <v>588</v>
      </c>
      <c r="AP9">
        <v>207</v>
      </c>
      <c r="AQ9">
        <v>1945</v>
      </c>
      <c r="AR9">
        <v>73</v>
      </c>
      <c r="AS9">
        <v>12</v>
      </c>
      <c r="AT9">
        <v>177.93828404890201</v>
      </c>
      <c r="AU9">
        <v>98.3006325846994</v>
      </c>
      <c r="AV9">
        <v>-1.28738861607891E-2</v>
      </c>
      <c r="AW9">
        <v>5.3715956959215596</v>
      </c>
    </row>
    <row r="10" spans="1:49">
      <c r="A10">
        <v>8</v>
      </c>
      <c r="B10" t="s">
        <v>330</v>
      </c>
      <c r="C10">
        <v>42306</v>
      </c>
      <c r="D10" t="s">
        <v>331</v>
      </c>
      <c r="E10">
        <v>773.54899999999998</v>
      </c>
      <c r="F10">
        <v>409949</v>
      </c>
      <c r="G10">
        <v>2.21599999999999</v>
      </c>
      <c r="H10">
        <v>0.53</v>
      </c>
      <c r="I10">
        <v>7.99</v>
      </c>
      <c r="J10">
        <v>444.32</v>
      </c>
      <c r="K10">
        <v>1</v>
      </c>
      <c r="L10">
        <v>8</v>
      </c>
      <c r="M10">
        <v>4.2222222222222197</v>
      </c>
      <c r="N10">
        <v>3.5</v>
      </c>
      <c r="O10">
        <v>5.9</v>
      </c>
      <c r="P10">
        <v>34.036999999999999</v>
      </c>
      <c r="Q10">
        <v>1</v>
      </c>
      <c r="R10">
        <v>7</v>
      </c>
      <c r="S10">
        <v>4.71428571428571</v>
      </c>
      <c r="T10">
        <v>3.5554999999999999</v>
      </c>
      <c r="U10">
        <v>5.1230000000000002</v>
      </c>
      <c r="V10">
        <v>74530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152719.64000000001</v>
      </c>
      <c r="AD10">
        <v>25723.137999999999</v>
      </c>
      <c r="AE10">
        <v>129417.65700000001</v>
      </c>
      <c r="AF10">
        <v>540</v>
      </c>
      <c r="AG10">
        <v>45080.7</v>
      </c>
      <c r="AH10">
        <v>87.399999999999906</v>
      </c>
      <c r="AI10">
        <v>111068</v>
      </c>
      <c r="AJ10">
        <v>22716</v>
      </c>
      <c r="AK10">
        <v>122274.435999999</v>
      </c>
      <c r="AL10">
        <v>8308.8060000000005</v>
      </c>
      <c r="AM10">
        <v>254.289999999999</v>
      </c>
      <c r="AN10">
        <v>0</v>
      </c>
      <c r="AO10">
        <v>1216</v>
      </c>
      <c r="AP10">
        <v>405</v>
      </c>
      <c r="AQ10">
        <v>0</v>
      </c>
      <c r="AR10">
        <v>84</v>
      </c>
      <c r="AS10">
        <v>0</v>
      </c>
      <c r="AT10">
        <v>34.078895651527297</v>
      </c>
      <c r="AU10">
        <v>1312.7978354545901</v>
      </c>
      <c r="AV10">
        <v>-0.181191076010982</v>
      </c>
      <c r="AW10">
        <v>53.911693130273797</v>
      </c>
    </row>
    <row r="11" spans="1:49">
      <c r="A11">
        <v>9</v>
      </c>
      <c r="B11" t="s">
        <v>332</v>
      </c>
      <c r="C11">
        <v>42105</v>
      </c>
      <c r="D11" t="s">
        <v>331</v>
      </c>
      <c r="E11">
        <v>935.68299999999999</v>
      </c>
      <c r="F11">
        <v>1228205</v>
      </c>
      <c r="G11">
        <v>2.7927222222222201</v>
      </c>
      <c r="H11">
        <v>0.53</v>
      </c>
      <c r="I11">
        <v>7.99</v>
      </c>
      <c r="J11">
        <v>313.76400000000001</v>
      </c>
      <c r="K11">
        <v>2</v>
      </c>
      <c r="L11">
        <v>8</v>
      </c>
      <c r="M11">
        <v>4.2666666666666604</v>
      </c>
      <c r="N11">
        <v>3.5</v>
      </c>
      <c r="O11">
        <v>7.1109999999999998</v>
      </c>
      <c r="P11">
        <v>322.02600000000001</v>
      </c>
      <c r="Q11">
        <v>2</v>
      </c>
      <c r="R11">
        <v>12</v>
      </c>
      <c r="S11">
        <v>5</v>
      </c>
      <c r="T11">
        <v>3.4964999999999899</v>
      </c>
      <c r="U11">
        <v>5.8176666666666597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277562.15000000002</v>
      </c>
      <c r="AD11">
        <v>0</v>
      </c>
      <c r="AE11">
        <v>62846.65</v>
      </c>
      <c r="AF11">
        <v>843</v>
      </c>
      <c r="AG11">
        <v>10820</v>
      </c>
      <c r="AH11">
        <v>12.6</v>
      </c>
      <c r="AI11">
        <v>118789</v>
      </c>
      <c r="AJ11">
        <v>1473.84</v>
      </c>
      <c r="AK11">
        <v>10938</v>
      </c>
      <c r="AL11">
        <v>1433</v>
      </c>
      <c r="AM11">
        <v>79.599999999999994</v>
      </c>
      <c r="AN11">
        <v>0</v>
      </c>
      <c r="AO11">
        <v>914</v>
      </c>
      <c r="AP11">
        <v>126</v>
      </c>
      <c r="AQ11">
        <v>0</v>
      </c>
      <c r="AR11">
        <v>158</v>
      </c>
      <c r="AS11">
        <v>0</v>
      </c>
      <c r="AT11">
        <v>2.3367538911436601</v>
      </c>
      <c r="AU11">
        <v>2.9924958700963802</v>
      </c>
      <c r="AV11">
        <v>-8.9181284549806096E-3</v>
      </c>
      <c r="AW11">
        <v>3.3020281814777701</v>
      </c>
    </row>
    <row r="12" spans="1:49">
      <c r="A12">
        <v>10</v>
      </c>
      <c r="B12" t="s">
        <v>333</v>
      </c>
      <c r="C12">
        <v>42204</v>
      </c>
      <c r="D12" t="s">
        <v>331</v>
      </c>
      <c r="E12">
        <v>772.58600000000001</v>
      </c>
      <c r="F12">
        <v>1199605</v>
      </c>
      <c r="G12">
        <v>2.8210000000000002</v>
      </c>
      <c r="H12">
        <v>0.77</v>
      </c>
      <c r="I12">
        <v>7.98</v>
      </c>
      <c r="J12">
        <v>308.73200000000003</v>
      </c>
      <c r="K12">
        <v>1</v>
      </c>
      <c r="L12">
        <v>12</v>
      </c>
      <c r="M12">
        <v>4.7272727272727204</v>
      </c>
      <c r="N12">
        <v>3.5</v>
      </c>
      <c r="O12">
        <v>6.9</v>
      </c>
      <c r="P12">
        <v>165.679</v>
      </c>
      <c r="Q12">
        <v>2</v>
      </c>
      <c r="R12">
        <v>10</v>
      </c>
      <c r="S12">
        <v>4.875</v>
      </c>
      <c r="T12">
        <v>3.46875</v>
      </c>
      <c r="U12">
        <v>4.9991250000000003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259932.81</v>
      </c>
      <c r="AD12">
        <v>0</v>
      </c>
      <c r="AE12">
        <v>114850.15</v>
      </c>
      <c r="AF12">
        <v>655</v>
      </c>
      <c r="AG12">
        <v>48369</v>
      </c>
      <c r="AH12">
        <v>124</v>
      </c>
      <c r="AI12">
        <v>118806.6</v>
      </c>
      <c r="AJ12">
        <v>82949</v>
      </c>
      <c r="AK12">
        <v>537786.91</v>
      </c>
      <c r="AL12">
        <v>13917.72</v>
      </c>
      <c r="AM12">
        <v>386.6</v>
      </c>
      <c r="AN12">
        <v>27.599999999999898</v>
      </c>
      <c r="AO12">
        <v>2157</v>
      </c>
      <c r="AP12">
        <v>454</v>
      </c>
      <c r="AQ12">
        <v>12368</v>
      </c>
      <c r="AR12">
        <v>223</v>
      </c>
      <c r="AS12">
        <v>0</v>
      </c>
      <c r="AT12">
        <v>0.67174896585177102</v>
      </c>
      <c r="AU12">
        <v>1.9024405904861801</v>
      </c>
      <c r="AV12">
        <v>5.2394410899383103E-3</v>
      </c>
      <c r="AW12">
        <v>2.4263717013171902</v>
      </c>
    </row>
    <row r="13" spans="1:49">
      <c r="A13">
        <v>11</v>
      </c>
      <c r="B13" t="s">
        <v>334</v>
      </c>
      <c r="C13">
        <v>42801</v>
      </c>
      <c r="D13" t="s">
        <v>331</v>
      </c>
      <c r="E13">
        <v>624.13300000000004</v>
      </c>
      <c r="F13">
        <v>544938</v>
      </c>
      <c r="G13">
        <v>2.79</v>
      </c>
      <c r="H13">
        <v>0.55000000000000004</v>
      </c>
      <c r="I13">
        <v>7.98</v>
      </c>
      <c r="J13">
        <v>137.71099999999899</v>
      </c>
      <c r="K13">
        <v>2</v>
      </c>
      <c r="L13">
        <v>10</v>
      </c>
      <c r="M13">
        <v>5.4285714285714199</v>
      </c>
      <c r="N13">
        <v>3.5</v>
      </c>
      <c r="O13">
        <v>5</v>
      </c>
      <c r="P13">
        <v>261.97800000000001</v>
      </c>
      <c r="Q13">
        <v>2</v>
      </c>
      <c r="R13">
        <v>10</v>
      </c>
      <c r="S13">
        <v>6.2857142857142803</v>
      </c>
      <c r="T13">
        <v>3.5</v>
      </c>
      <c r="U13">
        <v>4.1427999999999896</v>
      </c>
      <c r="V13">
        <v>0</v>
      </c>
      <c r="W13">
        <v>0</v>
      </c>
      <c r="X13">
        <v>0</v>
      </c>
      <c r="Y13">
        <v>0</v>
      </c>
      <c r="Z13">
        <v>1</v>
      </c>
      <c r="AA13">
        <v>50</v>
      </c>
      <c r="AB13">
        <v>1</v>
      </c>
      <c r="AC13">
        <v>325043.3</v>
      </c>
      <c r="AD13">
        <v>84475</v>
      </c>
      <c r="AE13">
        <v>56838.97</v>
      </c>
      <c r="AF13">
        <v>1645</v>
      </c>
      <c r="AG13">
        <v>70445.25</v>
      </c>
      <c r="AH13">
        <v>190.29999999999899</v>
      </c>
      <c r="AI13">
        <v>56527</v>
      </c>
      <c r="AJ13">
        <v>29867</v>
      </c>
      <c r="AK13">
        <v>156900.35</v>
      </c>
      <c r="AL13">
        <v>20081.62</v>
      </c>
      <c r="AM13">
        <v>270.19999999999902</v>
      </c>
      <c r="AN13">
        <v>0</v>
      </c>
      <c r="AO13">
        <v>609</v>
      </c>
      <c r="AP13">
        <v>160</v>
      </c>
      <c r="AQ13">
        <v>6024</v>
      </c>
      <c r="AR13">
        <v>143</v>
      </c>
      <c r="AS13">
        <v>9</v>
      </c>
      <c r="AT13">
        <v>19.463853615288699</v>
      </c>
      <c r="AU13">
        <v>128.35056097884399</v>
      </c>
      <c r="AV13">
        <v>-0.18518108115800799</v>
      </c>
      <c r="AW13">
        <v>34.174476143274603</v>
      </c>
    </row>
    <row r="14" spans="1:49">
      <c r="A14">
        <v>12</v>
      </c>
      <c r="B14" t="s">
        <v>335</v>
      </c>
      <c r="C14">
        <v>44602</v>
      </c>
      <c r="D14" t="s">
        <v>321</v>
      </c>
      <c r="E14">
        <v>674.495</v>
      </c>
      <c r="F14">
        <v>150968</v>
      </c>
      <c r="G14">
        <v>2.4601250000000001</v>
      </c>
      <c r="H14">
        <v>0.56999999999999995</v>
      </c>
      <c r="I14">
        <v>7.88</v>
      </c>
      <c r="J14">
        <v>349.57600000000002</v>
      </c>
      <c r="K14">
        <v>1</v>
      </c>
      <c r="L14">
        <v>8</v>
      </c>
      <c r="M14">
        <v>3.2857142857142798</v>
      </c>
      <c r="N14">
        <v>3.5</v>
      </c>
      <c r="O14">
        <v>6</v>
      </c>
      <c r="P14">
        <v>115.643</v>
      </c>
      <c r="Q14">
        <v>1</v>
      </c>
      <c r="R14">
        <v>8</v>
      </c>
      <c r="S14">
        <v>4.25</v>
      </c>
      <c r="T14">
        <v>3.5</v>
      </c>
      <c r="U14">
        <v>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45718.5</v>
      </c>
      <c r="AD14">
        <v>0</v>
      </c>
      <c r="AE14">
        <v>11510.93</v>
      </c>
      <c r="AF14">
        <v>372.8</v>
      </c>
      <c r="AG14">
        <v>5645.6940000000004</v>
      </c>
      <c r="AH14">
        <v>6.4</v>
      </c>
      <c r="AI14">
        <v>28104.397000000001</v>
      </c>
      <c r="AJ14">
        <v>1365</v>
      </c>
      <c r="AK14">
        <v>797.62</v>
      </c>
      <c r="AL14">
        <v>4054.6439999999998</v>
      </c>
      <c r="AM14">
        <v>153.5</v>
      </c>
      <c r="AN14">
        <v>0</v>
      </c>
      <c r="AO14">
        <v>851</v>
      </c>
      <c r="AP14">
        <v>41</v>
      </c>
      <c r="AQ14">
        <v>9384</v>
      </c>
      <c r="AR14">
        <v>52</v>
      </c>
      <c r="AS14">
        <v>0</v>
      </c>
      <c r="AT14">
        <v>20.702102909874199</v>
      </c>
      <c r="AU14">
        <v>39.284550234315603</v>
      </c>
      <c r="AV14">
        <v>-0.32491098929638801</v>
      </c>
      <c r="AW14">
        <v>18.222994948279599</v>
      </c>
    </row>
    <row r="15" spans="1:49">
      <c r="A15">
        <v>13</v>
      </c>
      <c r="B15" t="s">
        <v>336</v>
      </c>
      <c r="C15">
        <v>62605</v>
      </c>
      <c r="D15" t="s">
        <v>327</v>
      </c>
      <c r="E15">
        <v>830.54300000000001</v>
      </c>
      <c r="F15">
        <v>200039</v>
      </c>
      <c r="G15">
        <v>2.7082857142857102</v>
      </c>
      <c r="H15">
        <v>0</v>
      </c>
      <c r="I15">
        <v>8</v>
      </c>
      <c r="J15">
        <v>487.74299999999999</v>
      </c>
      <c r="K15">
        <v>2</v>
      </c>
      <c r="L15">
        <v>6</v>
      </c>
      <c r="M15">
        <v>3.3076923076922999</v>
      </c>
      <c r="N15">
        <v>3.5</v>
      </c>
      <c r="O15">
        <v>5</v>
      </c>
      <c r="P15">
        <v>11.236000000000001</v>
      </c>
      <c r="Q15">
        <v>4</v>
      </c>
      <c r="R15">
        <v>6</v>
      </c>
      <c r="S15">
        <v>4.8</v>
      </c>
      <c r="T15">
        <v>3.5</v>
      </c>
      <c r="U15">
        <v>4.75</v>
      </c>
      <c r="V15">
        <v>0</v>
      </c>
      <c r="W15">
        <v>0</v>
      </c>
      <c r="X15">
        <v>9</v>
      </c>
      <c r="Y15">
        <v>0</v>
      </c>
      <c r="Z15">
        <v>0</v>
      </c>
      <c r="AA15">
        <v>0</v>
      </c>
      <c r="AB15">
        <v>0</v>
      </c>
      <c r="AC15">
        <v>123371.641</v>
      </c>
      <c r="AD15">
        <v>20027.3</v>
      </c>
      <c r="AE15">
        <v>340076.89600000001</v>
      </c>
      <c r="AF15">
        <v>2857</v>
      </c>
      <c r="AG15">
        <v>13166</v>
      </c>
      <c r="AH15">
        <v>48.599999999999902</v>
      </c>
      <c r="AI15">
        <v>103524.853</v>
      </c>
      <c r="AJ15">
        <v>33147</v>
      </c>
      <c r="AK15">
        <v>3029513.53</v>
      </c>
      <c r="AL15">
        <v>14762.34</v>
      </c>
      <c r="AM15">
        <v>591.38999999999896</v>
      </c>
      <c r="AN15">
        <v>0</v>
      </c>
      <c r="AO15">
        <v>3275</v>
      </c>
      <c r="AP15">
        <v>414</v>
      </c>
      <c r="AQ15">
        <v>35798</v>
      </c>
      <c r="AR15">
        <v>138</v>
      </c>
      <c r="AS15">
        <v>6</v>
      </c>
      <c r="AT15">
        <v>283.36970697152299</v>
      </c>
      <c r="AU15">
        <v>2813.7195345376499</v>
      </c>
      <c r="AV15">
        <v>-3.3721349171501901E-2</v>
      </c>
      <c r="AW15">
        <v>25.982206054005299</v>
      </c>
    </row>
    <row r="16" spans="1:49">
      <c r="A16">
        <v>14</v>
      </c>
      <c r="B16" t="s">
        <v>337</v>
      </c>
      <c r="C16">
        <v>33202</v>
      </c>
      <c r="D16" t="s">
        <v>338</v>
      </c>
      <c r="E16">
        <v>661.423</v>
      </c>
      <c r="F16">
        <v>260698</v>
      </c>
      <c r="G16">
        <v>2.32328571428571</v>
      </c>
      <c r="H16">
        <v>0.54</v>
      </c>
      <c r="I16">
        <v>7.8</v>
      </c>
      <c r="J16">
        <v>310.77300000000002</v>
      </c>
      <c r="K16">
        <v>2</v>
      </c>
      <c r="L16">
        <v>6</v>
      </c>
      <c r="M16">
        <v>3.1428571428571401</v>
      </c>
      <c r="N16">
        <v>3.5</v>
      </c>
      <c r="O16">
        <v>6</v>
      </c>
      <c r="P16">
        <v>69.257999999999996</v>
      </c>
      <c r="Q16">
        <v>2</v>
      </c>
      <c r="R16">
        <v>4</v>
      </c>
      <c r="S16">
        <v>3.4285714285714199</v>
      </c>
      <c r="T16">
        <v>3.5</v>
      </c>
      <c r="U16">
        <v>5.1666666666666599</v>
      </c>
      <c r="V16">
        <v>0</v>
      </c>
      <c r="W16">
        <v>0</v>
      </c>
      <c r="X16">
        <v>3</v>
      </c>
      <c r="Y16">
        <v>0</v>
      </c>
      <c r="Z16">
        <v>0</v>
      </c>
      <c r="AA16">
        <v>241</v>
      </c>
      <c r="AB16">
        <v>7</v>
      </c>
      <c r="AC16">
        <v>283505.86</v>
      </c>
      <c r="AD16">
        <v>2204.7999999999902</v>
      </c>
      <c r="AE16">
        <v>165962.00899999999</v>
      </c>
      <c r="AF16">
        <v>2321.2449999999999</v>
      </c>
      <c r="AG16">
        <v>31593</v>
      </c>
      <c r="AH16">
        <v>81.599999999999994</v>
      </c>
      <c r="AI16">
        <v>227064</v>
      </c>
      <c r="AJ16">
        <v>67534</v>
      </c>
      <c r="AK16">
        <v>130608.73799999899</v>
      </c>
      <c r="AL16">
        <v>16612</v>
      </c>
      <c r="AM16">
        <v>466.7</v>
      </c>
      <c r="AN16">
        <v>0</v>
      </c>
      <c r="AO16">
        <v>5264</v>
      </c>
      <c r="AP16">
        <v>831</v>
      </c>
      <c r="AQ16">
        <v>0</v>
      </c>
      <c r="AR16">
        <v>166</v>
      </c>
      <c r="AS16">
        <v>0</v>
      </c>
      <c r="AT16">
        <v>21.335997621437802</v>
      </c>
      <c r="AU16">
        <v>172.81534314170599</v>
      </c>
      <c r="AV16">
        <v>-8.5876159758903406E-2</v>
      </c>
      <c r="AW16">
        <v>17.832182512333301</v>
      </c>
    </row>
    <row r="17" spans="1:49">
      <c r="A17">
        <v>15</v>
      </c>
      <c r="B17" t="s">
        <v>339</v>
      </c>
      <c r="C17">
        <v>32204</v>
      </c>
      <c r="D17" t="s">
        <v>317</v>
      </c>
      <c r="E17">
        <v>821.31899999999996</v>
      </c>
      <c r="F17">
        <v>381294</v>
      </c>
      <c r="G17">
        <v>2.2588750000000002</v>
      </c>
      <c r="H17">
        <v>0.4</v>
      </c>
      <c r="I17">
        <v>7.99</v>
      </c>
      <c r="J17">
        <v>422.06900000000002</v>
      </c>
      <c r="K17">
        <v>2</v>
      </c>
      <c r="L17">
        <v>6</v>
      </c>
      <c r="M17">
        <v>3.25</v>
      </c>
      <c r="N17">
        <v>3.5</v>
      </c>
      <c r="O17">
        <v>5</v>
      </c>
      <c r="P17">
        <v>56.118000000000002</v>
      </c>
      <c r="Q17">
        <v>4</v>
      </c>
      <c r="R17">
        <v>6</v>
      </c>
      <c r="S17">
        <v>4.3636363636363598</v>
      </c>
      <c r="T17">
        <v>3.5</v>
      </c>
      <c r="U17">
        <v>4.7272727272727204</v>
      </c>
      <c r="V17">
        <v>157.4676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330600.03000000003</v>
      </c>
      <c r="AD17">
        <v>37525.040000000001</v>
      </c>
      <c r="AE17">
        <v>187080.30599999899</v>
      </c>
      <c r="AF17">
        <v>730</v>
      </c>
      <c r="AG17">
        <v>63425.5</v>
      </c>
      <c r="AH17">
        <v>62.6</v>
      </c>
      <c r="AI17">
        <v>175107.56</v>
      </c>
      <c r="AJ17">
        <v>416821</v>
      </c>
      <c r="AK17">
        <v>1062355.925</v>
      </c>
      <c r="AL17">
        <v>19031.650000000001</v>
      </c>
      <c r="AM17">
        <v>790.92</v>
      </c>
      <c r="AN17">
        <v>0</v>
      </c>
      <c r="AO17">
        <v>6689</v>
      </c>
      <c r="AP17">
        <v>413</v>
      </c>
      <c r="AQ17">
        <v>0</v>
      </c>
      <c r="AR17">
        <v>185</v>
      </c>
      <c r="AS17">
        <v>0</v>
      </c>
      <c r="AT17">
        <v>34.601979499917803</v>
      </c>
      <c r="AU17">
        <v>276.69159836038301</v>
      </c>
      <c r="AV17">
        <v>4.0175278161666599E-2</v>
      </c>
      <c r="AW17">
        <v>29.419706200871001</v>
      </c>
    </row>
    <row r="18" spans="1:49">
      <c r="A18">
        <v>16</v>
      </c>
      <c r="B18" t="s">
        <v>340</v>
      </c>
      <c r="C18">
        <v>42502</v>
      </c>
      <c r="D18" t="s">
        <v>331</v>
      </c>
      <c r="E18">
        <v>659.51400000000001</v>
      </c>
      <c r="F18">
        <v>179154</v>
      </c>
      <c r="G18">
        <v>2.5288571428571398</v>
      </c>
      <c r="H18">
        <v>0.62</v>
      </c>
      <c r="I18">
        <v>7.79</v>
      </c>
      <c r="J18">
        <v>314.62099999999998</v>
      </c>
      <c r="K18">
        <v>1</v>
      </c>
      <c r="L18">
        <v>8</v>
      </c>
      <c r="M18">
        <v>4.1428571428571397</v>
      </c>
      <c r="N18">
        <v>3.5</v>
      </c>
      <c r="O18">
        <v>5</v>
      </c>
      <c r="P18">
        <v>17.606000000000002</v>
      </c>
      <c r="Q18">
        <v>4</v>
      </c>
      <c r="R18">
        <v>10</v>
      </c>
      <c r="S18">
        <v>5.6666666666666599</v>
      </c>
      <c r="T18">
        <v>3.5</v>
      </c>
      <c r="U18">
        <v>4.8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101039.9</v>
      </c>
      <c r="AD18">
        <v>0</v>
      </c>
      <c r="AE18">
        <v>137322.91999999899</v>
      </c>
      <c r="AF18">
        <v>3880</v>
      </c>
      <c r="AG18">
        <v>4130</v>
      </c>
      <c r="AH18">
        <v>6</v>
      </c>
      <c r="AI18">
        <v>140004</v>
      </c>
      <c r="AJ18">
        <v>12676</v>
      </c>
      <c r="AK18">
        <v>24835.3</v>
      </c>
      <c r="AL18">
        <v>25317.14</v>
      </c>
      <c r="AM18">
        <v>1290.5999999999899</v>
      </c>
      <c r="AN18">
        <v>0</v>
      </c>
      <c r="AO18">
        <v>3884</v>
      </c>
      <c r="AP18">
        <v>476</v>
      </c>
      <c r="AQ18">
        <v>19832</v>
      </c>
      <c r="AR18">
        <v>131</v>
      </c>
      <c r="AS18">
        <v>0</v>
      </c>
      <c r="AT18">
        <v>20.7703133081856</v>
      </c>
      <c r="AU18">
        <v>206.009696851125</v>
      </c>
      <c r="AV18">
        <v>2.90621464304994E-3</v>
      </c>
      <c r="AW18">
        <v>19.633619847622501</v>
      </c>
    </row>
    <row r="19" spans="1:49">
      <c r="A19">
        <v>17</v>
      </c>
      <c r="B19" t="s">
        <v>341</v>
      </c>
      <c r="C19">
        <v>51201</v>
      </c>
      <c r="D19" t="s">
        <v>325</v>
      </c>
      <c r="E19">
        <v>836.31299999999999</v>
      </c>
      <c r="F19">
        <v>91182</v>
      </c>
      <c r="G19">
        <v>2.27487499999999</v>
      </c>
      <c r="H19">
        <v>0.71</v>
      </c>
      <c r="I19">
        <v>7.9</v>
      </c>
      <c r="J19">
        <v>408.99400000000003</v>
      </c>
      <c r="K19">
        <v>1</v>
      </c>
      <c r="L19">
        <v>6</v>
      </c>
      <c r="M19">
        <v>3.375</v>
      </c>
      <c r="N19">
        <v>3.5</v>
      </c>
      <c r="O19">
        <v>5.125</v>
      </c>
      <c r="P19">
        <v>77.277000000000001</v>
      </c>
      <c r="Q19">
        <v>1</v>
      </c>
      <c r="R19">
        <v>10</v>
      </c>
      <c r="S19">
        <v>4.125</v>
      </c>
      <c r="T19">
        <v>3.484375</v>
      </c>
      <c r="U19">
        <v>4.5237142857142798</v>
      </c>
      <c r="V19">
        <v>113122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111779.379999999</v>
      </c>
      <c r="AD19">
        <v>7249.65</v>
      </c>
      <c r="AE19">
        <v>108478.692</v>
      </c>
      <c r="AF19">
        <v>4274</v>
      </c>
      <c r="AG19">
        <v>14884.7</v>
      </c>
      <c r="AH19">
        <v>23.2</v>
      </c>
      <c r="AI19">
        <v>109152.31</v>
      </c>
      <c r="AJ19">
        <v>22608</v>
      </c>
      <c r="AK19">
        <v>12632.635</v>
      </c>
      <c r="AL19">
        <v>17608</v>
      </c>
      <c r="AM19">
        <v>560.50199999999904</v>
      </c>
      <c r="AN19">
        <v>0</v>
      </c>
      <c r="AO19">
        <v>2966</v>
      </c>
      <c r="AP19">
        <v>300</v>
      </c>
      <c r="AQ19">
        <v>0</v>
      </c>
      <c r="AR19">
        <v>117</v>
      </c>
      <c r="AS19">
        <v>0</v>
      </c>
      <c r="AT19">
        <v>155.243326654458</v>
      </c>
      <c r="AU19">
        <v>6284.2440737001798</v>
      </c>
      <c r="AV19">
        <v>-0.121393819952405</v>
      </c>
      <c r="AW19">
        <v>23.870553186780199</v>
      </c>
    </row>
    <row r="20" spans="1:49">
      <c r="A20">
        <v>18</v>
      </c>
      <c r="B20" t="s">
        <v>342</v>
      </c>
      <c r="C20">
        <v>51402</v>
      </c>
      <c r="D20" t="s">
        <v>325</v>
      </c>
      <c r="E20">
        <v>838.37300000000005</v>
      </c>
      <c r="F20">
        <v>75806</v>
      </c>
      <c r="G20">
        <v>3.202</v>
      </c>
      <c r="H20">
        <v>0.82</v>
      </c>
      <c r="I20">
        <v>7.62</v>
      </c>
      <c r="J20">
        <v>81.578000000000003</v>
      </c>
      <c r="K20">
        <v>1</v>
      </c>
      <c r="L20">
        <v>8</v>
      </c>
      <c r="M20">
        <v>5</v>
      </c>
      <c r="N20">
        <v>3.8519999999999999</v>
      </c>
      <c r="O20">
        <v>4.7619999999999996</v>
      </c>
      <c r="P20">
        <v>91.605999999999995</v>
      </c>
      <c r="Q20">
        <v>1</v>
      </c>
      <c r="R20">
        <v>8</v>
      </c>
      <c r="S20">
        <v>5</v>
      </c>
      <c r="T20">
        <v>3.51</v>
      </c>
      <c r="U20">
        <v>4.6779999999999999</v>
      </c>
      <c r="V20">
        <v>0</v>
      </c>
      <c r="W20">
        <v>0</v>
      </c>
      <c r="X20">
        <v>6</v>
      </c>
      <c r="Y20">
        <v>0</v>
      </c>
      <c r="Z20">
        <v>0</v>
      </c>
      <c r="AA20">
        <v>592.1</v>
      </c>
      <c r="AB20">
        <v>4</v>
      </c>
      <c r="AC20">
        <v>77041.960000000006</v>
      </c>
      <c r="AD20">
        <v>3789.2</v>
      </c>
      <c r="AE20">
        <v>156627.44349999999</v>
      </c>
      <c r="AF20">
        <v>5009</v>
      </c>
      <c r="AG20">
        <v>940</v>
      </c>
      <c r="AH20">
        <v>20</v>
      </c>
      <c r="AI20">
        <v>111225.4</v>
      </c>
      <c r="AJ20">
        <v>114631</v>
      </c>
      <c r="AK20">
        <v>4075653.2649999899</v>
      </c>
      <c r="AL20">
        <v>23369.9</v>
      </c>
      <c r="AM20">
        <v>502.5</v>
      </c>
      <c r="AN20">
        <v>0</v>
      </c>
      <c r="AO20">
        <v>4810</v>
      </c>
      <c r="AP20">
        <v>469</v>
      </c>
      <c r="AQ20">
        <v>37246</v>
      </c>
      <c r="AR20">
        <v>85</v>
      </c>
      <c r="AS20">
        <v>0</v>
      </c>
      <c r="AT20">
        <v>428.51503564570601</v>
      </c>
      <c r="AU20">
        <v>24283.938874577201</v>
      </c>
      <c r="AV20">
        <v>0.45715541281380701</v>
      </c>
      <c r="AW20">
        <v>79.180541104495703</v>
      </c>
    </row>
    <row r="21" spans="1:49">
      <c r="A21">
        <v>19</v>
      </c>
      <c r="B21" t="s">
        <v>343</v>
      </c>
      <c r="C21">
        <v>41902</v>
      </c>
      <c r="D21" t="s">
        <v>319</v>
      </c>
      <c r="E21">
        <v>440.09199999999998</v>
      </c>
      <c r="F21">
        <v>1180948</v>
      </c>
      <c r="G21">
        <v>2.7591666666666601</v>
      </c>
      <c r="H21">
        <v>0.76</v>
      </c>
      <c r="I21">
        <v>7.87</v>
      </c>
      <c r="J21">
        <v>17.16</v>
      </c>
      <c r="K21">
        <v>1</v>
      </c>
      <c r="L21">
        <v>8</v>
      </c>
      <c r="M21">
        <v>5</v>
      </c>
      <c r="N21">
        <v>3.5</v>
      </c>
      <c r="O21">
        <v>5</v>
      </c>
      <c r="P21">
        <v>5.5</v>
      </c>
      <c r="Q21">
        <v>2</v>
      </c>
      <c r="R21">
        <v>6</v>
      </c>
      <c r="S21">
        <v>5</v>
      </c>
      <c r="T21">
        <v>3.5</v>
      </c>
      <c r="U21">
        <v>3.5</v>
      </c>
      <c r="V21">
        <v>0</v>
      </c>
      <c r="W21">
        <v>0</v>
      </c>
      <c r="X21">
        <v>0</v>
      </c>
      <c r="Y21">
        <v>0</v>
      </c>
      <c r="Z21">
        <v>0</v>
      </c>
      <c r="AA21">
        <v>1272</v>
      </c>
      <c r="AB21">
        <v>5</v>
      </c>
      <c r="AC21">
        <v>148137.03999999899</v>
      </c>
      <c r="AD21">
        <v>53212</v>
      </c>
      <c r="AE21">
        <v>41734.419999999896</v>
      </c>
      <c r="AF21">
        <v>350</v>
      </c>
      <c r="AG21">
        <v>37617</v>
      </c>
      <c r="AH21">
        <v>67</v>
      </c>
      <c r="AI21">
        <v>39929</v>
      </c>
      <c r="AJ21">
        <v>12172</v>
      </c>
      <c r="AK21">
        <v>19007.739199999902</v>
      </c>
      <c r="AL21">
        <v>752.5</v>
      </c>
      <c r="AM21">
        <v>15.799999999999899</v>
      </c>
      <c r="AN21">
        <v>0</v>
      </c>
      <c r="AO21">
        <v>342</v>
      </c>
      <c r="AP21">
        <v>184</v>
      </c>
      <c r="AQ21">
        <v>0</v>
      </c>
      <c r="AR21">
        <v>104</v>
      </c>
      <c r="AS21">
        <v>0</v>
      </c>
      <c r="AT21">
        <v>4.5214608033895898</v>
      </c>
      <c r="AU21">
        <v>3.2959946937382001</v>
      </c>
      <c r="AV21">
        <v>-7.01938379945653E-2</v>
      </c>
      <c r="AW21">
        <v>17.052620065707998</v>
      </c>
    </row>
    <row r="22" spans="1:49">
      <c r="A22">
        <v>20</v>
      </c>
      <c r="B22" t="s">
        <v>344</v>
      </c>
      <c r="C22">
        <v>41402</v>
      </c>
      <c r="D22" t="s">
        <v>319</v>
      </c>
      <c r="E22">
        <v>554.82999999999902</v>
      </c>
      <c r="F22">
        <v>385949</v>
      </c>
      <c r="G22">
        <v>2.90636363636363</v>
      </c>
      <c r="H22">
        <v>0.55000000000000004</v>
      </c>
      <c r="I22">
        <v>7.95</v>
      </c>
      <c r="J22">
        <v>277.15800000000002</v>
      </c>
      <c r="K22">
        <v>1</v>
      </c>
      <c r="L22">
        <v>8</v>
      </c>
      <c r="M22">
        <v>4.0909090909090899</v>
      </c>
      <c r="N22">
        <v>3.5</v>
      </c>
      <c r="O22">
        <v>5</v>
      </c>
      <c r="P22">
        <v>13.347</v>
      </c>
      <c r="Q22">
        <v>2</v>
      </c>
      <c r="R22">
        <v>6</v>
      </c>
      <c r="S22">
        <v>4.4285714285714199</v>
      </c>
      <c r="T22">
        <v>3.5</v>
      </c>
      <c r="U22">
        <v>4.6666666666666599</v>
      </c>
      <c r="V22">
        <v>63300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73682.8</v>
      </c>
      <c r="AD22">
        <v>8464</v>
      </c>
      <c r="AE22">
        <v>76685.97</v>
      </c>
      <c r="AF22">
        <v>207.5</v>
      </c>
      <c r="AG22">
        <v>31951.3</v>
      </c>
      <c r="AH22">
        <v>17.2</v>
      </c>
      <c r="AI22">
        <v>76422.559999999998</v>
      </c>
      <c r="AJ22">
        <v>0</v>
      </c>
      <c r="AK22">
        <v>0</v>
      </c>
      <c r="AL22">
        <v>9189.3799999999992</v>
      </c>
      <c r="AM22">
        <v>212.599999999999</v>
      </c>
      <c r="AN22">
        <v>4</v>
      </c>
      <c r="AO22">
        <v>391</v>
      </c>
      <c r="AP22">
        <v>135</v>
      </c>
      <c r="AQ22">
        <v>10655</v>
      </c>
      <c r="AR22">
        <v>80</v>
      </c>
      <c r="AS22">
        <v>0</v>
      </c>
      <c r="AT22">
        <v>17.959512103187901</v>
      </c>
      <c r="AU22">
        <v>58.646828421136</v>
      </c>
      <c r="AV22">
        <v>0.148030026780539</v>
      </c>
      <c r="AW22">
        <v>14.140237857969399</v>
      </c>
    </row>
    <row r="23" spans="1:49">
      <c r="A23">
        <v>21</v>
      </c>
      <c r="B23" t="s">
        <v>345</v>
      </c>
      <c r="C23">
        <v>33602</v>
      </c>
      <c r="D23" t="s">
        <v>338</v>
      </c>
      <c r="E23">
        <v>597.73900000000003</v>
      </c>
      <c r="F23">
        <v>975472</v>
      </c>
      <c r="G23">
        <v>3.4438749999999998</v>
      </c>
      <c r="H23">
        <v>0.65</v>
      </c>
      <c r="I23">
        <v>7.97</v>
      </c>
      <c r="J23">
        <v>167.708</v>
      </c>
      <c r="K23">
        <v>4</v>
      </c>
      <c r="L23">
        <v>8</v>
      </c>
      <c r="M23">
        <v>4.8</v>
      </c>
      <c r="N23">
        <v>3.5</v>
      </c>
      <c r="O23">
        <v>5</v>
      </c>
      <c r="P23">
        <v>209.74</v>
      </c>
      <c r="Q23">
        <v>1</v>
      </c>
      <c r="R23">
        <v>10</v>
      </c>
      <c r="S23">
        <v>5.375</v>
      </c>
      <c r="T23">
        <v>3.46875</v>
      </c>
      <c r="U23">
        <v>4.3040000000000003</v>
      </c>
      <c r="V23">
        <v>0</v>
      </c>
      <c r="W23">
        <v>0</v>
      </c>
      <c r="X23">
        <v>0</v>
      </c>
      <c r="Y23">
        <v>0</v>
      </c>
      <c r="Z23">
        <v>0</v>
      </c>
      <c r="AA23">
        <v>760</v>
      </c>
      <c r="AB23">
        <v>3</v>
      </c>
      <c r="AC23">
        <v>265054.06</v>
      </c>
      <c r="AD23">
        <v>3940</v>
      </c>
      <c r="AE23">
        <v>93482.07</v>
      </c>
      <c r="AF23">
        <v>480</v>
      </c>
      <c r="AG23">
        <v>26853.5</v>
      </c>
      <c r="AH23">
        <v>38.6</v>
      </c>
      <c r="AI23">
        <v>9719.1880000000001</v>
      </c>
      <c r="AJ23">
        <v>1675</v>
      </c>
      <c r="AK23">
        <v>32.872</v>
      </c>
      <c r="AL23">
        <v>852</v>
      </c>
      <c r="AM23">
        <v>51.8</v>
      </c>
      <c r="AN23">
        <v>10.6</v>
      </c>
      <c r="AO23">
        <v>0</v>
      </c>
      <c r="AP23">
        <v>0</v>
      </c>
      <c r="AQ23">
        <v>26162</v>
      </c>
      <c r="AR23">
        <v>226</v>
      </c>
      <c r="AS23">
        <v>0</v>
      </c>
      <c r="AT23">
        <v>6.5962978001435104</v>
      </c>
      <c r="AU23">
        <v>2.1713018369563901</v>
      </c>
      <c r="AV23">
        <v>-1.22599163921191E-2</v>
      </c>
      <c r="AW23">
        <v>4.7394352658779697</v>
      </c>
    </row>
    <row r="24" spans="1:49">
      <c r="A24">
        <v>22</v>
      </c>
      <c r="B24" t="s">
        <v>346</v>
      </c>
      <c r="C24">
        <v>64406</v>
      </c>
      <c r="D24" t="s">
        <v>347</v>
      </c>
      <c r="E24">
        <v>788.26399999999899</v>
      </c>
      <c r="F24">
        <v>195503</v>
      </c>
      <c r="G24">
        <v>2.1638000000000002</v>
      </c>
      <c r="H24">
        <v>0.54</v>
      </c>
      <c r="I24">
        <v>7.98</v>
      </c>
      <c r="J24">
        <v>311.26100000000002</v>
      </c>
      <c r="K24">
        <v>2</v>
      </c>
      <c r="L24">
        <v>10</v>
      </c>
      <c r="M24">
        <v>3.5</v>
      </c>
      <c r="N24">
        <v>3.5</v>
      </c>
      <c r="O24">
        <v>5</v>
      </c>
      <c r="P24">
        <v>13.483000000000001</v>
      </c>
      <c r="Q24">
        <v>4</v>
      </c>
      <c r="R24">
        <v>6</v>
      </c>
      <c r="S24">
        <v>4.5999999999999996</v>
      </c>
      <c r="T24">
        <v>3.35</v>
      </c>
      <c r="U24">
        <v>4.2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96220.932000000001</v>
      </c>
      <c r="AD24">
        <v>8319.2999999999993</v>
      </c>
      <c r="AE24">
        <v>70797.934999999998</v>
      </c>
      <c r="AF24">
        <v>3775.9</v>
      </c>
      <c r="AG24">
        <v>30368.5979999999</v>
      </c>
      <c r="AH24">
        <v>81.599999999999895</v>
      </c>
      <c r="AI24">
        <v>153609</v>
      </c>
      <c r="AJ24">
        <v>57920</v>
      </c>
      <c r="AK24">
        <v>32159.134999999998</v>
      </c>
      <c r="AL24">
        <v>10750.88</v>
      </c>
      <c r="AM24">
        <v>716.44999999999902</v>
      </c>
      <c r="AN24">
        <v>0</v>
      </c>
      <c r="AO24">
        <v>1407</v>
      </c>
      <c r="AP24">
        <v>220</v>
      </c>
      <c r="AQ24">
        <v>12272</v>
      </c>
      <c r="AR24">
        <v>136</v>
      </c>
      <c r="AS24">
        <v>0</v>
      </c>
      <c r="AT24">
        <v>154.54814641914399</v>
      </c>
      <c r="AU24">
        <v>57.386448407032503</v>
      </c>
      <c r="AV24">
        <v>7.2380444165901101E-2</v>
      </c>
      <c r="AW24">
        <v>7.3805021756605704</v>
      </c>
    </row>
    <row r="25" spans="1:49">
      <c r="A25">
        <v>23</v>
      </c>
      <c r="B25" t="s">
        <v>348</v>
      </c>
      <c r="C25">
        <v>61103</v>
      </c>
      <c r="D25" t="s">
        <v>349</v>
      </c>
      <c r="E25">
        <v>1010.476</v>
      </c>
      <c r="F25">
        <v>392344</v>
      </c>
      <c r="G25">
        <v>2.4710526315789401</v>
      </c>
      <c r="H25">
        <v>0.51</v>
      </c>
      <c r="I25">
        <v>7.88</v>
      </c>
      <c r="J25">
        <v>502.00700000000001</v>
      </c>
      <c r="K25">
        <v>2</v>
      </c>
      <c r="L25">
        <v>8</v>
      </c>
      <c r="M25">
        <v>3.55555555555555</v>
      </c>
      <c r="N25">
        <v>3.5</v>
      </c>
      <c r="O25">
        <v>5</v>
      </c>
      <c r="P25">
        <v>111.65</v>
      </c>
      <c r="Q25">
        <v>2</v>
      </c>
      <c r="R25">
        <v>8</v>
      </c>
      <c r="S25">
        <v>4.3333333333333304</v>
      </c>
      <c r="T25">
        <v>3.46875</v>
      </c>
      <c r="U25">
        <v>4.173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114119.55999999899</v>
      </c>
      <c r="AD25">
        <v>19813.099999999999</v>
      </c>
      <c r="AE25">
        <v>165492.69899999999</v>
      </c>
      <c r="AF25">
        <v>2333.5</v>
      </c>
      <c r="AG25">
        <v>25343</v>
      </c>
      <c r="AH25">
        <v>1100.5999999999999</v>
      </c>
      <c r="AI25">
        <v>60872.249000000003</v>
      </c>
      <c r="AJ25">
        <v>30227</v>
      </c>
      <c r="AK25">
        <v>119850.32</v>
      </c>
      <c r="AL25">
        <v>21091.27</v>
      </c>
      <c r="AM25">
        <v>803.75</v>
      </c>
      <c r="AN25">
        <v>0.4</v>
      </c>
      <c r="AO25">
        <v>2092</v>
      </c>
      <c r="AP25">
        <v>516</v>
      </c>
      <c r="AQ25">
        <v>18845</v>
      </c>
      <c r="AR25">
        <v>181</v>
      </c>
      <c r="AS25">
        <v>9</v>
      </c>
      <c r="AT25">
        <v>175.81304837135599</v>
      </c>
      <c r="AU25">
        <v>90.309540930678295</v>
      </c>
      <c r="AV25">
        <v>-0.18076193253801101</v>
      </c>
      <c r="AW25">
        <v>15.111283572499399</v>
      </c>
    </row>
    <row r="26" spans="1:49">
      <c r="A26">
        <v>24</v>
      </c>
      <c r="B26" t="s">
        <v>350</v>
      </c>
      <c r="C26">
        <v>61201</v>
      </c>
      <c r="D26" t="s">
        <v>349</v>
      </c>
      <c r="E26">
        <v>997.30499999999995</v>
      </c>
      <c r="F26">
        <v>591442</v>
      </c>
      <c r="G26">
        <v>3.0019411764705799</v>
      </c>
      <c r="H26">
        <v>0.56000000000000005</v>
      </c>
      <c r="I26">
        <v>7.94</v>
      </c>
      <c r="J26">
        <v>474.97500000000002</v>
      </c>
      <c r="K26">
        <v>1</v>
      </c>
      <c r="L26">
        <v>8</v>
      </c>
      <c r="M26">
        <v>4.5384615384615303</v>
      </c>
      <c r="N26">
        <v>3.5</v>
      </c>
      <c r="O26">
        <v>5.5</v>
      </c>
      <c r="P26">
        <v>185.73099999999999</v>
      </c>
      <c r="Q26">
        <v>1</v>
      </c>
      <c r="R26">
        <v>9</v>
      </c>
      <c r="S26">
        <v>4.2857142857142803</v>
      </c>
      <c r="T26">
        <v>3.5</v>
      </c>
      <c r="U26">
        <v>5.25</v>
      </c>
      <c r="V26">
        <v>0</v>
      </c>
      <c r="W26">
        <v>120000</v>
      </c>
      <c r="X26">
        <v>6</v>
      </c>
      <c r="Y26">
        <v>0</v>
      </c>
      <c r="Z26">
        <v>4</v>
      </c>
      <c r="AA26">
        <v>3196.221</v>
      </c>
      <c r="AB26">
        <v>3</v>
      </c>
      <c r="AC26">
        <v>105544.62</v>
      </c>
      <c r="AD26">
        <v>0</v>
      </c>
      <c r="AE26">
        <v>129374.7</v>
      </c>
      <c r="AF26">
        <v>2860</v>
      </c>
      <c r="AG26">
        <v>8491</v>
      </c>
      <c r="AH26">
        <v>22</v>
      </c>
      <c r="AI26">
        <v>173833.62199999901</v>
      </c>
      <c r="AJ26">
        <v>45278</v>
      </c>
      <c r="AK26">
        <v>492904.33</v>
      </c>
      <c r="AL26">
        <v>14964.53</v>
      </c>
      <c r="AM26">
        <v>200.43</v>
      </c>
      <c r="AN26">
        <v>0</v>
      </c>
      <c r="AO26">
        <v>1041</v>
      </c>
      <c r="AP26">
        <v>167</v>
      </c>
      <c r="AQ26">
        <v>547054</v>
      </c>
      <c r="AR26">
        <v>50</v>
      </c>
      <c r="AS26">
        <v>0</v>
      </c>
      <c r="AT26">
        <v>255.582756980715</v>
      </c>
      <c r="AU26">
        <v>606.53479603795199</v>
      </c>
      <c r="AV26">
        <v>-0.112037390916851</v>
      </c>
      <c r="AW26">
        <v>9.6135368935478596</v>
      </c>
    </row>
    <row r="27" spans="1:49">
      <c r="A27">
        <v>25</v>
      </c>
      <c r="B27" t="s">
        <v>351</v>
      </c>
      <c r="C27">
        <v>61405</v>
      </c>
      <c r="D27" t="s">
        <v>349</v>
      </c>
      <c r="E27">
        <v>906.27700000000004</v>
      </c>
      <c r="F27">
        <v>333376</v>
      </c>
      <c r="G27">
        <v>2.6190000000000002</v>
      </c>
      <c r="H27">
        <v>0.47</v>
      </c>
      <c r="I27">
        <v>7.94</v>
      </c>
      <c r="J27">
        <v>589.99099999999999</v>
      </c>
      <c r="K27">
        <v>1</v>
      </c>
      <c r="L27">
        <v>8</v>
      </c>
      <c r="M27">
        <v>3.7</v>
      </c>
      <c r="N27">
        <v>3.5</v>
      </c>
      <c r="O27">
        <v>5</v>
      </c>
      <c r="P27">
        <v>118.878999999999</v>
      </c>
      <c r="Q27">
        <v>4</v>
      </c>
      <c r="R27">
        <v>9</v>
      </c>
      <c r="S27">
        <v>4.55555555555555</v>
      </c>
      <c r="T27">
        <v>3.5</v>
      </c>
      <c r="U27">
        <v>4.4000000000000004</v>
      </c>
      <c r="V27">
        <v>68554.399999999994</v>
      </c>
      <c r="W27">
        <v>0</v>
      </c>
      <c r="X27">
        <v>0</v>
      </c>
      <c r="Y27">
        <v>0</v>
      </c>
      <c r="Z27">
        <v>0</v>
      </c>
      <c r="AA27">
        <v>56</v>
      </c>
      <c r="AB27">
        <v>2</v>
      </c>
      <c r="AC27">
        <v>56317.86</v>
      </c>
      <c r="AD27">
        <v>680.8</v>
      </c>
      <c r="AE27">
        <v>117565.265999999</v>
      </c>
      <c r="AF27">
        <v>1544</v>
      </c>
      <c r="AG27">
        <v>4153.78</v>
      </c>
      <c r="AH27">
        <v>7.8</v>
      </c>
      <c r="AI27">
        <v>71904.27</v>
      </c>
      <c r="AJ27">
        <v>25408</v>
      </c>
      <c r="AK27">
        <v>52730.57</v>
      </c>
      <c r="AL27">
        <v>15528</v>
      </c>
      <c r="AM27">
        <v>121.1</v>
      </c>
      <c r="AN27">
        <v>0</v>
      </c>
      <c r="AO27">
        <v>808</v>
      </c>
      <c r="AP27">
        <v>19</v>
      </c>
      <c r="AQ27">
        <v>30643</v>
      </c>
      <c r="AR27">
        <v>174</v>
      </c>
      <c r="AS27">
        <v>6</v>
      </c>
      <c r="AT27">
        <v>222.34114811427301</v>
      </c>
      <c r="AU27">
        <v>675.72059292148504</v>
      </c>
      <c r="AV27">
        <v>6.3788891893364105E-2</v>
      </c>
      <c r="AW27">
        <v>11.492167102455999</v>
      </c>
    </row>
    <row r="28" spans="1:49">
      <c r="A28">
        <v>26</v>
      </c>
      <c r="B28" t="s">
        <v>352</v>
      </c>
      <c r="C28">
        <v>32105</v>
      </c>
      <c r="D28" t="s">
        <v>353</v>
      </c>
      <c r="E28">
        <v>808.07899999999995</v>
      </c>
      <c r="F28">
        <v>283229</v>
      </c>
      <c r="G28">
        <v>2.1472857142857098</v>
      </c>
      <c r="H28">
        <v>0.55000000000000004</v>
      </c>
      <c r="I28">
        <v>7.88</v>
      </c>
      <c r="J28">
        <v>522.04099999999903</v>
      </c>
      <c r="K28">
        <v>2</v>
      </c>
      <c r="L28">
        <v>6</v>
      </c>
      <c r="M28">
        <v>3.2857142857142798</v>
      </c>
      <c r="N28">
        <v>3.5</v>
      </c>
      <c r="O28">
        <v>5</v>
      </c>
      <c r="P28">
        <v>11.62</v>
      </c>
      <c r="Q28">
        <v>2</v>
      </c>
      <c r="R28">
        <v>6</v>
      </c>
      <c r="S28">
        <v>3.8</v>
      </c>
      <c r="T28">
        <v>3.5</v>
      </c>
      <c r="U28">
        <v>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281391.28999999998</v>
      </c>
      <c r="AD28">
        <v>43702.559999999998</v>
      </c>
      <c r="AE28">
        <v>141960.00870000001</v>
      </c>
      <c r="AF28">
        <v>3475</v>
      </c>
      <c r="AG28">
        <v>37250</v>
      </c>
      <c r="AH28">
        <v>87.6</v>
      </c>
      <c r="AI28">
        <v>196273.20300000001</v>
      </c>
      <c r="AJ28">
        <v>39158.800000000003</v>
      </c>
      <c r="AK28">
        <v>101109.15</v>
      </c>
      <c r="AL28">
        <v>11802.02</v>
      </c>
      <c r="AM28">
        <v>441.9</v>
      </c>
      <c r="AN28">
        <v>0</v>
      </c>
      <c r="AO28">
        <v>3163</v>
      </c>
      <c r="AP28">
        <v>552</v>
      </c>
      <c r="AQ28">
        <v>21343</v>
      </c>
      <c r="AR28">
        <v>227</v>
      </c>
      <c r="AS28">
        <v>0</v>
      </c>
      <c r="AT28">
        <v>21.336416296836099</v>
      </c>
      <c r="AU28">
        <v>211.89181969718001</v>
      </c>
      <c r="AV28">
        <v>9.8783852312713499E-2</v>
      </c>
      <c r="AW28">
        <v>22.083401539479901</v>
      </c>
    </row>
    <row r="29" spans="1:49">
      <c r="A29">
        <v>27</v>
      </c>
      <c r="B29" t="s">
        <v>354</v>
      </c>
      <c r="C29">
        <v>32603</v>
      </c>
      <c r="D29" t="s">
        <v>353</v>
      </c>
      <c r="E29">
        <v>727.19100000000003</v>
      </c>
      <c r="F29">
        <v>234664</v>
      </c>
      <c r="G29">
        <v>2.0470000000000002</v>
      </c>
      <c r="H29">
        <v>0.53</v>
      </c>
      <c r="I29">
        <v>7.95</v>
      </c>
      <c r="J29">
        <v>336.505</v>
      </c>
      <c r="K29">
        <v>1</v>
      </c>
      <c r="L29">
        <v>8</v>
      </c>
      <c r="M29">
        <v>3.6666666666666599</v>
      </c>
      <c r="N29">
        <v>3.633</v>
      </c>
      <c r="O29">
        <v>5</v>
      </c>
      <c r="P29">
        <v>4.6369999999999996</v>
      </c>
      <c r="Q29">
        <v>1</v>
      </c>
      <c r="R29">
        <v>4</v>
      </c>
      <c r="S29">
        <v>2.75</v>
      </c>
      <c r="T29">
        <v>3.5</v>
      </c>
      <c r="V29">
        <v>0</v>
      </c>
      <c r="W29">
        <v>0</v>
      </c>
      <c r="X29">
        <v>0</v>
      </c>
      <c r="Y29">
        <v>0</v>
      </c>
      <c r="Z29">
        <v>0</v>
      </c>
      <c r="AA29">
        <v>264</v>
      </c>
      <c r="AB29">
        <v>2</v>
      </c>
      <c r="AC29">
        <v>201275.85</v>
      </c>
      <c r="AD29">
        <v>20481.05</v>
      </c>
      <c r="AE29">
        <v>67600.845000000001</v>
      </c>
      <c r="AF29">
        <v>6868</v>
      </c>
      <c r="AG29">
        <v>38218.785000000003</v>
      </c>
      <c r="AH29">
        <v>96.3</v>
      </c>
      <c r="AI29">
        <v>130569.13</v>
      </c>
      <c r="AJ29">
        <v>36251</v>
      </c>
      <c r="AK29">
        <v>0</v>
      </c>
      <c r="AL29">
        <v>23248.440999999999</v>
      </c>
      <c r="AM29">
        <v>738.69999999999902</v>
      </c>
      <c r="AN29">
        <v>0</v>
      </c>
      <c r="AO29">
        <v>3104</v>
      </c>
      <c r="AP29">
        <v>568</v>
      </c>
      <c r="AQ29">
        <v>0</v>
      </c>
      <c r="AR29">
        <v>165</v>
      </c>
      <c r="AS29">
        <v>1</v>
      </c>
      <c r="AT29">
        <v>44.054684912185799</v>
      </c>
      <c r="AU29">
        <v>299.717733759775</v>
      </c>
      <c r="AV29">
        <v>-1.02958998572126E-2</v>
      </c>
      <c r="AW29">
        <v>29.336213312742899</v>
      </c>
    </row>
    <row r="30" spans="1:49">
      <c r="A30">
        <v>28</v>
      </c>
      <c r="B30" t="s">
        <v>355</v>
      </c>
      <c r="C30">
        <v>43703</v>
      </c>
      <c r="D30" t="s">
        <v>356</v>
      </c>
      <c r="E30">
        <v>892.00299999999902</v>
      </c>
      <c r="F30">
        <v>523846</v>
      </c>
      <c r="G30">
        <v>2.76727272727272</v>
      </c>
      <c r="H30">
        <v>0.64</v>
      </c>
      <c r="I30">
        <v>7.91</v>
      </c>
      <c r="J30">
        <v>262.15100000000001</v>
      </c>
      <c r="K30">
        <v>1</v>
      </c>
      <c r="L30">
        <v>10</v>
      </c>
      <c r="M30">
        <v>3.3636363636363602</v>
      </c>
      <c r="N30">
        <v>3.5</v>
      </c>
      <c r="O30">
        <v>5</v>
      </c>
      <c r="P30">
        <v>23.783999999999999</v>
      </c>
      <c r="Q30">
        <v>1</v>
      </c>
      <c r="R30">
        <v>10</v>
      </c>
      <c r="S30">
        <v>3.375</v>
      </c>
      <c r="T30">
        <v>3.5</v>
      </c>
      <c r="U30">
        <v>4.3333333333333304</v>
      </c>
      <c r="V30">
        <v>29780</v>
      </c>
      <c r="W30">
        <v>0</v>
      </c>
      <c r="X30">
        <v>0</v>
      </c>
      <c r="Y30">
        <v>0</v>
      </c>
      <c r="Z30">
        <v>5</v>
      </c>
      <c r="AA30">
        <v>86</v>
      </c>
      <c r="AB30">
        <v>1</v>
      </c>
      <c r="AC30">
        <v>142043.79999999999</v>
      </c>
      <c r="AD30">
        <v>21732.799999999999</v>
      </c>
      <c r="AE30">
        <v>165959.45699999999</v>
      </c>
      <c r="AF30">
        <v>1630</v>
      </c>
      <c r="AG30">
        <v>26734</v>
      </c>
      <c r="AH30">
        <v>939.31999999999903</v>
      </c>
      <c r="AI30">
        <v>75621</v>
      </c>
      <c r="AJ30">
        <v>9514</v>
      </c>
      <c r="AK30">
        <v>172959.84700000001</v>
      </c>
      <c r="AL30">
        <v>14643.75</v>
      </c>
      <c r="AM30">
        <v>443.69999999999902</v>
      </c>
      <c r="AN30">
        <v>19.8</v>
      </c>
      <c r="AO30">
        <v>2089</v>
      </c>
      <c r="AP30">
        <v>486</v>
      </c>
      <c r="AQ30">
        <v>35488</v>
      </c>
      <c r="AR30">
        <v>181</v>
      </c>
      <c r="AS30">
        <v>0</v>
      </c>
      <c r="AT30">
        <v>45.183645041647097</v>
      </c>
      <c r="AU30">
        <v>75.872389764449494</v>
      </c>
      <c r="AV30">
        <v>0.12490745006982901</v>
      </c>
      <c r="AW30">
        <v>6.90392774148253</v>
      </c>
    </row>
    <row r="31" spans="1:49">
      <c r="A31">
        <v>29</v>
      </c>
      <c r="B31" t="s">
        <v>357</v>
      </c>
      <c r="C31">
        <v>43802</v>
      </c>
      <c r="D31" t="s">
        <v>356</v>
      </c>
      <c r="E31">
        <v>843.71199999999999</v>
      </c>
      <c r="F31">
        <v>123874</v>
      </c>
      <c r="G31">
        <v>2.5607500000000001</v>
      </c>
      <c r="H31">
        <v>0.64</v>
      </c>
      <c r="I31">
        <v>7.93</v>
      </c>
      <c r="J31">
        <v>139.54899999999901</v>
      </c>
      <c r="K31">
        <v>2</v>
      </c>
      <c r="L31">
        <v>4</v>
      </c>
      <c r="M31">
        <v>3.25</v>
      </c>
      <c r="N31">
        <v>3.5</v>
      </c>
      <c r="O31">
        <v>4</v>
      </c>
      <c r="P31">
        <v>5.35</v>
      </c>
      <c r="Q31">
        <v>4</v>
      </c>
      <c r="R31">
        <v>4</v>
      </c>
      <c r="S31">
        <v>4</v>
      </c>
      <c r="T31">
        <v>3.5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76961.070000000007</v>
      </c>
      <c r="AD31">
        <v>17777.599999999999</v>
      </c>
      <c r="AE31">
        <v>93041.6899999999</v>
      </c>
      <c r="AF31">
        <v>5368</v>
      </c>
      <c r="AG31">
        <v>22774</v>
      </c>
      <c r="AH31">
        <v>44</v>
      </c>
      <c r="AI31">
        <v>36203</v>
      </c>
      <c r="AJ31">
        <v>12401</v>
      </c>
      <c r="AK31">
        <v>73839.56</v>
      </c>
      <c r="AL31">
        <v>8986.75</v>
      </c>
      <c r="AM31">
        <v>384.2</v>
      </c>
      <c r="AN31">
        <v>0</v>
      </c>
      <c r="AO31">
        <v>1687</v>
      </c>
      <c r="AP31">
        <v>223</v>
      </c>
      <c r="AQ31">
        <v>2747</v>
      </c>
      <c r="AR31">
        <v>101</v>
      </c>
      <c r="AS31">
        <v>4</v>
      </c>
      <c r="AT31">
        <v>50.7195551593678</v>
      </c>
      <c r="AU31">
        <v>241.68805420072701</v>
      </c>
      <c r="AV31">
        <v>-1.2294623927654701E-2</v>
      </c>
      <c r="AW31">
        <v>6.5678777682928597</v>
      </c>
    </row>
    <row r="32" spans="1:49">
      <c r="A32">
        <v>30</v>
      </c>
      <c r="B32" t="s">
        <v>358</v>
      </c>
      <c r="C32">
        <v>41804</v>
      </c>
      <c r="D32" t="s">
        <v>319</v>
      </c>
      <c r="E32">
        <v>561.68999999999903</v>
      </c>
      <c r="F32">
        <v>1850825</v>
      </c>
      <c r="G32">
        <v>3.5712857142857102</v>
      </c>
      <c r="H32">
        <v>0.86</v>
      </c>
      <c r="I32">
        <v>7.89</v>
      </c>
      <c r="J32">
        <v>48.626999999999903</v>
      </c>
      <c r="K32">
        <v>4</v>
      </c>
      <c r="L32">
        <v>8</v>
      </c>
      <c r="M32">
        <v>5.6</v>
      </c>
      <c r="N32">
        <v>3.65</v>
      </c>
      <c r="O32">
        <v>5</v>
      </c>
      <c r="P32">
        <v>392.87099999999998</v>
      </c>
      <c r="Q32">
        <v>2</v>
      </c>
      <c r="R32">
        <v>12</v>
      </c>
      <c r="S32">
        <v>6.25</v>
      </c>
      <c r="T32">
        <v>3.4833333333333298</v>
      </c>
      <c r="U32">
        <v>5.2661666666666598</v>
      </c>
      <c r="V32">
        <v>0</v>
      </c>
      <c r="W32">
        <v>0</v>
      </c>
      <c r="X32">
        <v>0</v>
      </c>
      <c r="Y32">
        <v>0</v>
      </c>
      <c r="Z32">
        <v>0</v>
      </c>
      <c r="AA32">
        <v>3935</v>
      </c>
      <c r="AB32">
        <v>21</v>
      </c>
      <c r="AC32">
        <v>386054.41</v>
      </c>
      <c r="AD32">
        <v>50532</v>
      </c>
      <c r="AE32">
        <v>160337.29999999999</v>
      </c>
      <c r="AF32">
        <v>989</v>
      </c>
      <c r="AG32">
        <v>25776</v>
      </c>
      <c r="AH32">
        <v>23.999999999999901</v>
      </c>
      <c r="AI32">
        <v>66524</v>
      </c>
      <c r="AJ32">
        <v>48221.26</v>
      </c>
      <c r="AK32">
        <v>165903.75</v>
      </c>
      <c r="AL32">
        <v>5328.6949999999997</v>
      </c>
      <c r="AM32">
        <v>128.9</v>
      </c>
      <c r="AN32">
        <v>0</v>
      </c>
      <c r="AO32">
        <v>956</v>
      </c>
      <c r="AP32">
        <v>158</v>
      </c>
      <c r="AQ32">
        <v>9149</v>
      </c>
      <c r="AR32">
        <v>321</v>
      </c>
      <c r="AS32">
        <v>6</v>
      </c>
      <c r="AT32">
        <v>8.9511558494250103</v>
      </c>
      <c r="AU32">
        <v>54.641867864953902</v>
      </c>
      <c r="AV32">
        <v>-8.9416946395679403E-3</v>
      </c>
      <c r="AW32">
        <v>13.2138438482755</v>
      </c>
    </row>
    <row r="33" spans="1:49">
      <c r="A33">
        <v>31</v>
      </c>
      <c r="B33" t="s">
        <v>359</v>
      </c>
      <c r="C33">
        <v>53606</v>
      </c>
      <c r="D33" t="s">
        <v>360</v>
      </c>
      <c r="E33">
        <v>689.76900000000001</v>
      </c>
      <c r="F33">
        <v>65334</v>
      </c>
      <c r="G33">
        <v>2.5166249999999999</v>
      </c>
      <c r="H33">
        <v>0.79</v>
      </c>
      <c r="I33">
        <v>7.94</v>
      </c>
      <c r="J33">
        <v>389.678</v>
      </c>
      <c r="K33">
        <v>2</v>
      </c>
      <c r="L33">
        <v>4</v>
      </c>
      <c r="M33">
        <v>2.625</v>
      </c>
      <c r="N33">
        <v>4.3330000000000002</v>
      </c>
      <c r="O33">
        <v>5</v>
      </c>
      <c r="P33">
        <v>1.0149999999999999</v>
      </c>
      <c r="Q33">
        <v>2</v>
      </c>
      <c r="R33">
        <v>4</v>
      </c>
      <c r="S33">
        <v>2.6666666666666599</v>
      </c>
      <c r="T33">
        <v>3.5</v>
      </c>
      <c r="U33">
        <v>2</v>
      </c>
      <c r="V33">
        <v>6045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40582.15</v>
      </c>
      <c r="AD33">
        <v>2473.1799999999998</v>
      </c>
      <c r="AE33">
        <v>108810.959999999</v>
      </c>
      <c r="AF33">
        <v>7341.1</v>
      </c>
      <c r="AG33">
        <v>24085</v>
      </c>
      <c r="AH33">
        <v>294.39999999999901</v>
      </c>
      <c r="AI33">
        <v>51161</v>
      </c>
      <c r="AJ33">
        <v>204242</v>
      </c>
      <c r="AK33">
        <v>72832.671359999993</v>
      </c>
      <c r="AL33">
        <v>17494.95</v>
      </c>
      <c r="AM33">
        <v>362.6</v>
      </c>
      <c r="AN33">
        <v>0.4</v>
      </c>
      <c r="AO33">
        <v>6591</v>
      </c>
      <c r="AP33">
        <v>329</v>
      </c>
      <c r="AQ33">
        <v>56589</v>
      </c>
      <c r="AR33">
        <v>20</v>
      </c>
      <c r="AS33">
        <v>26</v>
      </c>
      <c r="AT33">
        <v>353.912815294491</v>
      </c>
      <c r="AU33">
        <v>11717.0747604035</v>
      </c>
      <c r="AV33">
        <v>0.28241728571302299</v>
      </c>
      <c r="AW33">
        <v>87.618092796441005</v>
      </c>
    </row>
    <row r="34" spans="1:49">
      <c r="A34">
        <v>32</v>
      </c>
      <c r="B34" t="s">
        <v>361</v>
      </c>
      <c r="C34">
        <v>53901</v>
      </c>
      <c r="D34" t="s">
        <v>360</v>
      </c>
      <c r="E34">
        <v>593.33299999999997</v>
      </c>
      <c r="F34">
        <v>85069</v>
      </c>
      <c r="G34">
        <v>2.97166666666666</v>
      </c>
      <c r="H34">
        <v>0.63</v>
      </c>
      <c r="I34">
        <v>7.72</v>
      </c>
      <c r="J34">
        <v>235.762</v>
      </c>
      <c r="K34">
        <v>2</v>
      </c>
      <c r="L34">
        <v>6</v>
      </c>
      <c r="M34">
        <v>2.6</v>
      </c>
      <c r="N34">
        <v>4.5</v>
      </c>
      <c r="O34">
        <v>5.5119999999999996</v>
      </c>
      <c r="P34">
        <v>1.925</v>
      </c>
      <c r="Q34">
        <v>2</v>
      </c>
      <c r="R34">
        <v>7</v>
      </c>
      <c r="S34">
        <v>4</v>
      </c>
      <c r="T34">
        <v>3.25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3784</v>
      </c>
      <c r="AD34">
        <v>0</v>
      </c>
      <c r="AE34">
        <v>7680.78</v>
      </c>
      <c r="AF34">
        <v>40</v>
      </c>
      <c r="AG34">
        <v>710</v>
      </c>
      <c r="AH34">
        <v>12</v>
      </c>
      <c r="AI34">
        <v>2338</v>
      </c>
      <c r="AJ34">
        <v>10934</v>
      </c>
      <c r="AK34">
        <v>8094.9</v>
      </c>
      <c r="AL34">
        <v>0</v>
      </c>
      <c r="AM34">
        <v>28</v>
      </c>
      <c r="AN34">
        <v>0</v>
      </c>
      <c r="AO34">
        <v>260</v>
      </c>
      <c r="AP34">
        <v>17</v>
      </c>
      <c r="AQ34">
        <v>0</v>
      </c>
      <c r="AR34">
        <v>1</v>
      </c>
      <c r="AS34">
        <v>0</v>
      </c>
      <c r="AT34">
        <v>347.196113719241</v>
      </c>
      <c r="AU34">
        <v>3376.9819961649901</v>
      </c>
      <c r="AV34">
        <v>0.89962141638066695</v>
      </c>
      <c r="AW34">
        <v>160.33324001388101</v>
      </c>
    </row>
    <row r="35" spans="1:49">
      <c r="A35">
        <v>33</v>
      </c>
      <c r="B35" t="s">
        <v>362</v>
      </c>
      <c r="C35">
        <v>64304</v>
      </c>
      <c r="D35" t="s">
        <v>347</v>
      </c>
      <c r="E35">
        <v>622.70899999999995</v>
      </c>
      <c r="F35">
        <v>63529</v>
      </c>
      <c r="G35">
        <v>2.3902727272727202</v>
      </c>
      <c r="H35">
        <v>0.56999999999999995</v>
      </c>
      <c r="I35">
        <v>7.92</v>
      </c>
      <c r="J35">
        <v>512.04499999999996</v>
      </c>
      <c r="K35">
        <v>2</v>
      </c>
      <c r="L35">
        <v>8</v>
      </c>
      <c r="M35">
        <v>2.8181818181818099</v>
      </c>
      <c r="N35">
        <v>3.5</v>
      </c>
      <c r="O35">
        <v>3.6659999999999999</v>
      </c>
      <c r="P35">
        <v>7.09</v>
      </c>
      <c r="Q35">
        <v>4</v>
      </c>
      <c r="R35">
        <v>6</v>
      </c>
      <c r="S35">
        <v>4.6666666666666599</v>
      </c>
      <c r="V35">
        <v>23800</v>
      </c>
      <c r="W35">
        <v>0</v>
      </c>
      <c r="X35">
        <v>3</v>
      </c>
      <c r="Y35">
        <v>0</v>
      </c>
      <c r="Z35">
        <v>0</v>
      </c>
      <c r="AA35">
        <v>0</v>
      </c>
      <c r="AB35">
        <v>0</v>
      </c>
      <c r="AC35">
        <v>169098.85</v>
      </c>
      <c r="AD35">
        <v>25666.1</v>
      </c>
      <c r="AE35">
        <v>105975.745</v>
      </c>
      <c r="AF35">
        <v>5061</v>
      </c>
      <c r="AG35">
        <v>2713.6949999999902</v>
      </c>
      <c r="AH35">
        <v>7.2</v>
      </c>
      <c r="AI35">
        <v>79809.293999999994</v>
      </c>
      <c r="AJ35">
        <v>34168</v>
      </c>
      <c r="AK35">
        <v>21271.9326</v>
      </c>
      <c r="AL35">
        <v>14113.25</v>
      </c>
      <c r="AM35">
        <v>206.19999999999899</v>
      </c>
      <c r="AN35">
        <v>0</v>
      </c>
      <c r="AO35">
        <v>37</v>
      </c>
      <c r="AP35">
        <v>243</v>
      </c>
      <c r="AQ35">
        <v>13390</v>
      </c>
      <c r="AR35">
        <v>122</v>
      </c>
      <c r="AS35">
        <v>25</v>
      </c>
      <c r="AT35">
        <v>161.153196053529</v>
      </c>
      <c r="AU35">
        <v>39.921398828902198</v>
      </c>
      <c r="AV35">
        <v>6.7564645078253799E-2</v>
      </c>
      <c r="AW35">
        <v>9.3994642348466204</v>
      </c>
    </row>
    <row r="36" spans="1:49">
      <c r="A36">
        <v>34</v>
      </c>
      <c r="B36" t="s">
        <v>363</v>
      </c>
      <c r="C36">
        <v>61701</v>
      </c>
      <c r="D36" t="s">
        <v>349</v>
      </c>
      <c r="E36">
        <v>1404.098</v>
      </c>
      <c r="F36">
        <v>426576</v>
      </c>
      <c r="G36">
        <v>2.3909565217391302</v>
      </c>
      <c r="H36">
        <v>0.57999999999999996</v>
      </c>
      <c r="I36">
        <v>7.96</v>
      </c>
      <c r="J36">
        <v>764.48699999999997</v>
      </c>
      <c r="K36">
        <v>2</v>
      </c>
      <c r="L36">
        <v>10</v>
      </c>
      <c r="M36">
        <v>4.1739130434782599</v>
      </c>
      <c r="N36">
        <v>3.5</v>
      </c>
      <c r="O36">
        <v>5</v>
      </c>
      <c r="P36">
        <v>28.007000000000001</v>
      </c>
      <c r="Q36">
        <v>2</v>
      </c>
      <c r="R36">
        <v>8</v>
      </c>
      <c r="S36">
        <v>5.4545454545454497</v>
      </c>
      <c r="T36">
        <v>3.5</v>
      </c>
      <c r="U36">
        <v>4.3333333333333304</v>
      </c>
      <c r="V36">
        <v>0</v>
      </c>
      <c r="W36">
        <v>0</v>
      </c>
      <c r="X36">
        <v>6</v>
      </c>
      <c r="Y36">
        <v>0</v>
      </c>
      <c r="Z36">
        <v>0</v>
      </c>
      <c r="AA36">
        <v>0</v>
      </c>
      <c r="AB36">
        <v>0</v>
      </c>
      <c r="AC36">
        <v>134386.09</v>
      </c>
      <c r="AD36">
        <v>1448.3</v>
      </c>
      <c r="AE36">
        <v>212967.13200000001</v>
      </c>
      <c r="AF36">
        <v>2884.75</v>
      </c>
      <c r="AG36">
        <v>24235</v>
      </c>
      <c r="AH36">
        <v>6021.2</v>
      </c>
      <c r="AI36">
        <v>226323</v>
      </c>
      <c r="AJ36">
        <v>9007</v>
      </c>
      <c r="AK36">
        <v>10543044.23</v>
      </c>
      <c r="AL36">
        <v>9439.5</v>
      </c>
      <c r="AM36">
        <v>430.599999999999</v>
      </c>
      <c r="AN36">
        <v>0</v>
      </c>
      <c r="AO36">
        <v>2068</v>
      </c>
      <c r="AP36">
        <v>570</v>
      </c>
      <c r="AQ36">
        <v>14793</v>
      </c>
      <c r="AR36">
        <v>124</v>
      </c>
      <c r="AS36">
        <v>27</v>
      </c>
      <c r="AT36">
        <v>175.65130745294101</v>
      </c>
      <c r="AU36">
        <v>148.11439404152901</v>
      </c>
      <c r="AV36">
        <v>-1.15411281938676E-2</v>
      </c>
      <c r="AW36">
        <v>7.1416487332414098</v>
      </c>
    </row>
    <row r="37" spans="1:49">
      <c r="A37">
        <v>35</v>
      </c>
      <c r="B37" t="s">
        <v>364</v>
      </c>
      <c r="C37">
        <v>41602</v>
      </c>
      <c r="D37" t="s">
        <v>319</v>
      </c>
      <c r="E37">
        <v>357.46100000000001</v>
      </c>
      <c r="F37">
        <v>1079666</v>
      </c>
      <c r="G37">
        <v>3.3057777777777702</v>
      </c>
      <c r="H37">
        <v>0.56000000000000005</v>
      </c>
      <c r="I37">
        <v>7.9</v>
      </c>
      <c r="J37">
        <v>223.89699999999999</v>
      </c>
      <c r="K37">
        <v>2</v>
      </c>
      <c r="L37">
        <v>10</v>
      </c>
      <c r="M37">
        <v>6.6666666666666599</v>
      </c>
      <c r="N37">
        <v>3.5</v>
      </c>
      <c r="O37">
        <v>9</v>
      </c>
      <c r="P37">
        <v>99.402999999999906</v>
      </c>
      <c r="Q37">
        <v>1</v>
      </c>
      <c r="R37">
        <v>10</v>
      </c>
      <c r="S37">
        <v>5.3333333333333304</v>
      </c>
      <c r="T37">
        <v>3.4583333333333299</v>
      </c>
      <c r="U37">
        <v>5.0056666666666603</v>
      </c>
      <c r="V37">
        <v>0</v>
      </c>
      <c r="W37">
        <v>0</v>
      </c>
      <c r="X37">
        <v>0</v>
      </c>
      <c r="Y37">
        <v>0</v>
      </c>
      <c r="Z37">
        <v>2</v>
      </c>
      <c r="AA37">
        <v>0</v>
      </c>
      <c r="AB37">
        <v>0</v>
      </c>
      <c r="AC37">
        <v>142669.00199999899</v>
      </c>
      <c r="AD37">
        <v>35905.800000000003</v>
      </c>
      <c r="AE37">
        <v>18181.375</v>
      </c>
      <c r="AF37">
        <v>195</v>
      </c>
      <c r="AG37">
        <v>14211.869999999901</v>
      </c>
      <c r="AH37">
        <v>100.2</v>
      </c>
      <c r="AI37">
        <v>35648</v>
      </c>
      <c r="AJ37">
        <v>18459</v>
      </c>
      <c r="AK37">
        <v>25040.85</v>
      </c>
      <c r="AL37">
        <v>4736</v>
      </c>
      <c r="AM37">
        <v>195</v>
      </c>
      <c r="AN37">
        <v>0</v>
      </c>
      <c r="AO37">
        <v>676</v>
      </c>
      <c r="AP37">
        <v>0</v>
      </c>
      <c r="AQ37">
        <v>829</v>
      </c>
      <c r="AR37">
        <v>92</v>
      </c>
      <c r="AS37">
        <v>6</v>
      </c>
      <c r="AT37">
        <v>4.5291422398730896</v>
      </c>
      <c r="AU37">
        <v>2.87997251101284</v>
      </c>
      <c r="AV37">
        <v>-2.6588475778799498E-3</v>
      </c>
      <c r="AW37">
        <v>12.1880309656579</v>
      </c>
    </row>
    <row r="38" spans="1:49">
      <c r="A38">
        <v>36</v>
      </c>
      <c r="B38" t="s">
        <v>365</v>
      </c>
      <c r="C38">
        <v>33301</v>
      </c>
      <c r="D38" t="s">
        <v>338</v>
      </c>
      <c r="E38">
        <v>721.52499999999998</v>
      </c>
      <c r="F38">
        <v>281680</v>
      </c>
      <c r="G38">
        <v>2.00942857142857</v>
      </c>
      <c r="H38">
        <v>0.52</v>
      </c>
      <c r="I38">
        <v>7.71</v>
      </c>
      <c r="J38">
        <v>485.20600000000002</v>
      </c>
      <c r="K38">
        <v>2</v>
      </c>
      <c r="L38">
        <v>10</v>
      </c>
      <c r="M38">
        <v>4</v>
      </c>
      <c r="N38">
        <v>3.5</v>
      </c>
      <c r="O38">
        <v>5</v>
      </c>
      <c r="P38">
        <v>11.373999999999899</v>
      </c>
      <c r="Q38">
        <v>4</v>
      </c>
      <c r="R38">
        <v>8</v>
      </c>
      <c r="S38">
        <v>5</v>
      </c>
      <c r="T38">
        <v>3.5</v>
      </c>
      <c r="U38">
        <v>4.7333333333333298</v>
      </c>
      <c r="V38">
        <v>36547.730000000003</v>
      </c>
      <c r="W38">
        <v>19560.68</v>
      </c>
      <c r="X38">
        <v>6</v>
      </c>
      <c r="Y38">
        <v>0</v>
      </c>
      <c r="Z38">
        <v>0</v>
      </c>
      <c r="AA38">
        <v>851.6</v>
      </c>
      <c r="AB38">
        <v>11</v>
      </c>
      <c r="AC38">
        <v>188116.78</v>
      </c>
      <c r="AD38">
        <v>4175.25</v>
      </c>
      <c r="AE38">
        <v>240902.6</v>
      </c>
      <c r="AF38">
        <v>1457</v>
      </c>
      <c r="AG38">
        <v>37601</v>
      </c>
      <c r="AH38">
        <v>57.399999999999899</v>
      </c>
      <c r="AI38">
        <v>195405</v>
      </c>
      <c r="AJ38">
        <v>35698</v>
      </c>
      <c r="AK38">
        <v>120754.0775</v>
      </c>
      <c r="AL38">
        <v>15660.861999999999</v>
      </c>
      <c r="AM38">
        <v>339.9</v>
      </c>
      <c r="AN38">
        <v>0</v>
      </c>
      <c r="AO38">
        <v>687</v>
      </c>
      <c r="AP38">
        <v>468</v>
      </c>
      <c r="AQ38">
        <v>9341</v>
      </c>
      <c r="AR38">
        <v>121</v>
      </c>
      <c r="AS38">
        <v>0</v>
      </c>
      <c r="AT38">
        <v>27.810754841821002</v>
      </c>
      <c r="AU38">
        <v>165.39512911632201</v>
      </c>
      <c r="AV38">
        <v>-4.6238054522234201E-2</v>
      </c>
      <c r="AW38">
        <v>10.670957898725501</v>
      </c>
    </row>
    <row r="39" spans="1:49">
      <c r="A39">
        <v>37</v>
      </c>
      <c r="B39" t="s">
        <v>366</v>
      </c>
      <c r="C39">
        <v>61805</v>
      </c>
      <c r="D39" t="s">
        <v>349</v>
      </c>
      <c r="E39">
        <v>866.279</v>
      </c>
      <c r="F39">
        <v>332242</v>
      </c>
      <c r="G39">
        <v>2.6898749999999998</v>
      </c>
      <c r="H39">
        <v>0.7</v>
      </c>
      <c r="I39">
        <v>7.97</v>
      </c>
      <c r="J39">
        <v>461.63099999999997</v>
      </c>
      <c r="K39">
        <v>1</v>
      </c>
      <c r="L39">
        <v>8</v>
      </c>
      <c r="M39">
        <v>4.5</v>
      </c>
      <c r="N39">
        <v>3.5</v>
      </c>
      <c r="O39">
        <v>5</v>
      </c>
      <c r="P39">
        <v>101.77500000000001</v>
      </c>
      <c r="Q39">
        <v>4</v>
      </c>
      <c r="R39">
        <v>8</v>
      </c>
      <c r="S39">
        <v>5.25</v>
      </c>
      <c r="T39">
        <v>3.5</v>
      </c>
      <c r="U39">
        <v>4.984375</v>
      </c>
      <c r="V39">
        <v>0</v>
      </c>
      <c r="W39">
        <v>0</v>
      </c>
      <c r="X39">
        <v>0</v>
      </c>
      <c r="Y39">
        <v>0</v>
      </c>
      <c r="Z39">
        <v>8</v>
      </c>
      <c r="AA39">
        <v>36</v>
      </c>
      <c r="AB39">
        <v>3</v>
      </c>
      <c r="AC39">
        <v>55906.667520000003</v>
      </c>
      <c r="AD39">
        <v>3222.2</v>
      </c>
      <c r="AE39">
        <v>116010.609499999</v>
      </c>
      <c r="AF39">
        <v>2055</v>
      </c>
      <c r="AG39">
        <v>14562.6</v>
      </c>
      <c r="AH39">
        <v>121.1</v>
      </c>
      <c r="AI39">
        <v>155027</v>
      </c>
      <c r="AJ39">
        <v>15249.6</v>
      </c>
      <c r="AK39">
        <v>56476.11</v>
      </c>
      <c r="AL39">
        <v>16301.539999999901</v>
      </c>
      <c r="AM39">
        <v>644.95000000000005</v>
      </c>
      <c r="AN39">
        <v>0</v>
      </c>
      <c r="AO39">
        <v>2639</v>
      </c>
      <c r="AP39">
        <v>342</v>
      </c>
      <c r="AQ39">
        <v>0</v>
      </c>
      <c r="AR39">
        <v>95</v>
      </c>
      <c r="AS39">
        <v>57</v>
      </c>
      <c r="AT39">
        <v>11.2421346654299</v>
      </c>
      <c r="AU39">
        <v>1257.8715416764601</v>
      </c>
      <c r="AV39">
        <v>0.19059021182711999</v>
      </c>
      <c r="AW39">
        <v>7.2674768020724603</v>
      </c>
    </row>
    <row r="40" spans="1:49">
      <c r="A40">
        <v>38</v>
      </c>
      <c r="B40" t="s">
        <v>367</v>
      </c>
      <c r="C40">
        <v>53507</v>
      </c>
      <c r="D40" t="s">
        <v>360</v>
      </c>
      <c r="E40">
        <v>731.81199999999899</v>
      </c>
      <c r="F40">
        <v>132608</v>
      </c>
      <c r="G40">
        <v>2.4816363636363601</v>
      </c>
      <c r="H40">
        <v>0.67</v>
      </c>
      <c r="I40">
        <v>7.96</v>
      </c>
      <c r="J40">
        <v>281.99099999999999</v>
      </c>
      <c r="K40">
        <v>2</v>
      </c>
      <c r="L40">
        <v>6</v>
      </c>
      <c r="M40">
        <v>2.4545454545454501</v>
      </c>
      <c r="N40">
        <v>3.5</v>
      </c>
      <c r="O40">
        <v>5</v>
      </c>
      <c r="P40">
        <v>21.277000000000001</v>
      </c>
      <c r="Q40">
        <v>2</v>
      </c>
      <c r="R40">
        <v>6</v>
      </c>
      <c r="S40">
        <v>3.3333333333333299</v>
      </c>
      <c r="T40">
        <v>4</v>
      </c>
      <c r="U40">
        <v>4.5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39239.93</v>
      </c>
      <c r="AD40">
        <v>21323.1</v>
      </c>
      <c r="AE40">
        <v>87357.884999999995</v>
      </c>
      <c r="AF40">
        <v>3784.4</v>
      </c>
      <c r="AG40">
        <v>17032.349999999999</v>
      </c>
      <c r="AH40">
        <v>36.199999999999903</v>
      </c>
      <c r="AI40">
        <v>67471.399999999994</v>
      </c>
      <c r="AJ40">
        <v>51953.1</v>
      </c>
      <c r="AK40">
        <v>64567.021999999997</v>
      </c>
      <c r="AL40">
        <v>13630.25</v>
      </c>
      <c r="AM40">
        <v>677.92999999999904</v>
      </c>
      <c r="AN40">
        <v>0</v>
      </c>
      <c r="AO40">
        <v>2757</v>
      </c>
      <c r="AP40">
        <v>231</v>
      </c>
      <c r="AQ40">
        <v>14327</v>
      </c>
      <c r="AR40">
        <v>64</v>
      </c>
      <c r="AS40">
        <v>0</v>
      </c>
      <c r="AT40">
        <v>413.825169812257</v>
      </c>
      <c r="AU40">
        <v>4745.7964522288903</v>
      </c>
      <c r="AV40">
        <v>0.22445737312346001</v>
      </c>
      <c r="AW40">
        <v>26.144416426968</v>
      </c>
    </row>
    <row r="41" spans="1:49">
      <c r="A41">
        <v>39</v>
      </c>
      <c r="B41" t="s">
        <v>368</v>
      </c>
      <c r="C41">
        <v>32701</v>
      </c>
      <c r="D41" t="s">
        <v>317</v>
      </c>
      <c r="E41">
        <v>633.44000000000005</v>
      </c>
      <c r="F41">
        <v>126335</v>
      </c>
      <c r="G41">
        <v>2.2617500000000001</v>
      </c>
      <c r="H41">
        <v>0.63</v>
      </c>
      <c r="I41">
        <v>7.86</v>
      </c>
      <c r="J41">
        <v>351.78899999999999</v>
      </c>
      <c r="K41">
        <v>2</v>
      </c>
      <c r="L41">
        <v>8</v>
      </c>
      <c r="M41">
        <v>3.625</v>
      </c>
      <c r="N41">
        <v>3.5</v>
      </c>
      <c r="O41">
        <v>5</v>
      </c>
      <c r="P41">
        <v>4.798</v>
      </c>
      <c r="Q41">
        <v>4</v>
      </c>
      <c r="R41">
        <v>4</v>
      </c>
      <c r="S41">
        <v>4</v>
      </c>
      <c r="T41">
        <v>3.5</v>
      </c>
      <c r="U41">
        <v>5</v>
      </c>
      <c r="V41">
        <v>0</v>
      </c>
      <c r="W41">
        <v>0</v>
      </c>
      <c r="X41">
        <v>0</v>
      </c>
      <c r="Y41">
        <v>0</v>
      </c>
      <c r="Z41">
        <v>0</v>
      </c>
      <c r="AA41">
        <v>190.5</v>
      </c>
      <c r="AB41">
        <v>1</v>
      </c>
      <c r="AC41">
        <v>97155.83</v>
      </c>
      <c r="AD41">
        <v>199184.2</v>
      </c>
      <c r="AE41">
        <v>179800.05100000001</v>
      </c>
      <c r="AF41">
        <v>5791</v>
      </c>
      <c r="AG41">
        <v>4724</v>
      </c>
      <c r="AH41">
        <v>477.19999999999902</v>
      </c>
      <c r="AI41">
        <v>120222</v>
      </c>
      <c r="AJ41">
        <v>65497</v>
      </c>
      <c r="AK41">
        <v>266791.3615</v>
      </c>
      <c r="AL41">
        <v>16372.8999999999</v>
      </c>
      <c r="AM41">
        <v>555.099999999999</v>
      </c>
      <c r="AN41">
        <v>0</v>
      </c>
      <c r="AO41">
        <v>1397</v>
      </c>
      <c r="AP41">
        <v>351</v>
      </c>
      <c r="AQ41">
        <v>55460</v>
      </c>
      <c r="AR41">
        <v>162</v>
      </c>
      <c r="AS41">
        <v>0</v>
      </c>
      <c r="AT41">
        <v>50.636840461925601</v>
      </c>
      <c r="AU41">
        <v>1131.5234273885701</v>
      </c>
      <c r="AV41">
        <v>9.6910476785620106E-2</v>
      </c>
      <c r="AW41">
        <v>36.117306123941603</v>
      </c>
    </row>
    <row r="42" spans="1:49">
      <c r="A42">
        <v>40</v>
      </c>
      <c r="B42" t="s">
        <v>369</v>
      </c>
      <c r="C42">
        <v>31403</v>
      </c>
      <c r="D42" t="s">
        <v>353</v>
      </c>
      <c r="E42">
        <v>576.745</v>
      </c>
      <c r="F42">
        <v>253087</v>
      </c>
      <c r="G42">
        <v>1.9690000000000001</v>
      </c>
      <c r="H42">
        <v>0.61</v>
      </c>
      <c r="I42">
        <v>7.99</v>
      </c>
      <c r="J42">
        <v>249.411</v>
      </c>
      <c r="K42">
        <v>2</v>
      </c>
      <c r="L42">
        <v>8</v>
      </c>
      <c r="M42">
        <v>3.71428571428571</v>
      </c>
      <c r="N42">
        <v>3.5</v>
      </c>
      <c r="O42">
        <v>5</v>
      </c>
      <c r="P42">
        <v>3.9</v>
      </c>
      <c r="Q42">
        <v>4</v>
      </c>
      <c r="R42">
        <v>4</v>
      </c>
      <c r="S42">
        <v>4</v>
      </c>
      <c r="T42">
        <v>3.5</v>
      </c>
      <c r="U42">
        <v>4.9375</v>
      </c>
      <c r="V42">
        <v>0</v>
      </c>
      <c r="W42">
        <v>0</v>
      </c>
      <c r="X42">
        <v>3</v>
      </c>
      <c r="Y42">
        <v>0</v>
      </c>
      <c r="Z42">
        <v>0</v>
      </c>
      <c r="AA42">
        <v>700</v>
      </c>
      <c r="AB42">
        <v>2</v>
      </c>
      <c r="AC42">
        <v>142427.25</v>
      </c>
      <c r="AD42">
        <v>0</v>
      </c>
      <c r="AE42">
        <v>179726.193</v>
      </c>
      <c r="AF42">
        <v>9277</v>
      </c>
      <c r="AG42">
        <v>4657</v>
      </c>
      <c r="AH42">
        <v>2</v>
      </c>
      <c r="AI42">
        <v>80513.558000000005</v>
      </c>
      <c r="AJ42">
        <v>49173</v>
      </c>
      <c r="AK42">
        <v>448043.61</v>
      </c>
      <c r="AL42">
        <v>18893.810000000001</v>
      </c>
      <c r="AM42">
        <v>935.84</v>
      </c>
      <c r="AN42">
        <v>0</v>
      </c>
      <c r="AO42">
        <v>4191</v>
      </c>
      <c r="AP42">
        <v>374</v>
      </c>
      <c r="AQ42">
        <v>0</v>
      </c>
      <c r="AR42">
        <v>124</v>
      </c>
      <c r="AS42">
        <v>0</v>
      </c>
      <c r="AT42">
        <v>30.836892492420301</v>
      </c>
      <c r="AU42">
        <v>195.57510836268301</v>
      </c>
      <c r="AV42">
        <v>-3.5907170389482899E-2</v>
      </c>
      <c r="AW42">
        <v>17.145254710793498</v>
      </c>
    </row>
    <row r="43" spans="1:49">
      <c r="A43">
        <v>41</v>
      </c>
      <c r="B43" t="s">
        <v>370</v>
      </c>
      <c r="C43">
        <v>51904</v>
      </c>
      <c r="D43" t="s">
        <v>371</v>
      </c>
      <c r="E43">
        <v>806.99</v>
      </c>
      <c r="F43">
        <v>224364</v>
      </c>
      <c r="G43">
        <v>2.6256666666666599</v>
      </c>
      <c r="H43">
        <v>0.63</v>
      </c>
      <c r="I43">
        <v>7.99</v>
      </c>
      <c r="J43">
        <v>531.05899999999997</v>
      </c>
      <c r="K43">
        <v>1</v>
      </c>
      <c r="L43">
        <v>8</v>
      </c>
      <c r="M43">
        <v>3.2592592592592502</v>
      </c>
      <c r="N43">
        <v>6.5</v>
      </c>
      <c r="O43">
        <v>5</v>
      </c>
      <c r="P43">
        <v>53.21</v>
      </c>
      <c r="Q43">
        <v>2</v>
      </c>
      <c r="R43">
        <v>6</v>
      </c>
      <c r="S43">
        <v>4.5</v>
      </c>
      <c r="T43">
        <v>3.5</v>
      </c>
      <c r="U43">
        <v>4.7</v>
      </c>
      <c r="V43">
        <v>0</v>
      </c>
      <c r="W43">
        <v>0</v>
      </c>
      <c r="X43">
        <v>6</v>
      </c>
      <c r="Y43">
        <v>0</v>
      </c>
      <c r="Z43">
        <v>0</v>
      </c>
      <c r="AA43">
        <v>0</v>
      </c>
      <c r="AB43">
        <v>0</v>
      </c>
      <c r="AC43">
        <v>142808.37</v>
      </c>
      <c r="AD43">
        <v>0</v>
      </c>
      <c r="AE43">
        <v>136375.62899999999</v>
      </c>
      <c r="AF43">
        <v>3701</v>
      </c>
      <c r="AG43">
        <v>8821</v>
      </c>
      <c r="AH43">
        <v>16.600000000000001</v>
      </c>
      <c r="AI43">
        <v>106225</v>
      </c>
      <c r="AJ43">
        <v>8850</v>
      </c>
      <c r="AK43">
        <v>4668.9299999999903</v>
      </c>
      <c r="AL43">
        <v>12868.69</v>
      </c>
      <c r="AM43">
        <v>548.74999999999898</v>
      </c>
      <c r="AN43">
        <v>0</v>
      </c>
      <c r="AO43">
        <v>1218</v>
      </c>
      <c r="AP43">
        <v>206</v>
      </c>
      <c r="AQ43">
        <v>7172</v>
      </c>
      <c r="AR43">
        <v>81</v>
      </c>
      <c r="AS43">
        <v>0</v>
      </c>
      <c r="AT43">
        <v>42.298991354401601</v>
      </c>
      <c r="AU43">
        <v>24.2824350214911</v>
      </c>
      <c r="AV43">
        <v>1.33212190393925E-2</v>
      </c>
      <c r="AW43">
        <v>8.07191149184289</v>
      </c>
    </row>
    <row r="44" spans="1:49">
      <c r="A44">
        <v>42</v>
      </c>
      <c r="B44" t="s">
        <v>372</v>
      </c>
      <c r="C44">
        <v>51101</v>
      </c>
      <c r="D44" t="s">
        <v>371</v>
      </c>
      <c r="E44">
        <v>774.96500000000003</v>
      </c>
      <c r="F44">
        <v>430303</v>
      </c>
      <c r="G44">
        <v>2.5750000000000002</v>
      </c>
      <c r="H44">
        <v>0.56999999999999995</v>
      </c>
      <c r="I44">
        <v>7.94</v>
      </c>
      <c r="J44">
        <v>269.087999999999</v>
      </c>
      <c r="K44">
        <v>2</v>
      </c>
      <c r="L44">
        <v>9</v>
      </c>
      <c r="M44">
        <v>3.8181818181818099</v>
      </c>
      <c r="N44">
        <v>3.5209999999999999</v>
      </c>
      <c r="O44">
        <v>5</v>
      </c>
      <c r="P44">
        <v>161.83799999999999</v>
      </c>
      <c r="Q44">
        <v>2</v>
      </c>
      <c r="R44">
        <v>12</v>
      </c>
      <c r="S44">
        <v>5.0999999999999996</v>
      </c>
      <c r="T44">
        <v>3.7222222222222201</v>
      </c>
      <c r="U44">
        <v>4.9444444444444402</v>
      </c>
      <c r="V44">
        <v>0</v>
      </c>
      <c r="W44">
        <v>0</v>
      </c>
      <c r="X44">
        <v>6</v>
      </c>
      <c r="Y44">
        <v>0</v>
      </c>
      <c r="Z44">
        <v>0</v>
      </c>
      <c r="AA44">
        <v>0</v>
      </c>
      <c r="AB44">
        <v>0</v>
      </c>
      <c r="AC44">
        <v>81651.16</v>
      </c>
      <c r="AD44">
        <v>49183</v>
      </c>
      <c r="AE44">
        <v>107649</v>
      </c>
      <c r="AF44">
        <v>4943.8999999999996</v>
      </c>
      <c r="AG44">
        <v>19703</v>
      </c>
      <c r="AH44">
        <v>11</v>
      </c>
      <c r="AI44">
        <v>98314</v>
      </c>
      <c r="AJ44">
        <v>48851</v>
      </c>
      <c r="AK44">
        <v>1089823.28</v>
      </c>
      <c r="AL44">
        <v>7986.8819999999996</v>
      </c>
      <c r="AM44">
        <v>44.099999999999902</v>
      </c>
      <c r="AN44">
        <v>0</v>
      </c>
      <c r="AO44">
        <v>1682</v>
      </c>
      <c r="AP44">
        <v>239</v>
      </c>
      <c r="AQ44">
        <v>32617</v>
      </c>
      <c r="AR44">
        <v>92</v>
      </c>
      <c r="AS44">
        <v>0</v>
      </c>
      <c r="AT44">
        <v>51.509520598118797</v>
      </c>
      <c r="AU44">
        <v>3.9940666782119401</v>
      </c>
      <c r="AV44">
        <v>1.13039558487819E-2</v>
      </c>
      <c r="AW44">
        <v>8.6521437110351105</v>
      </c>
    </row>
    <row r="45" spans="1:49">
      <c r="A45">
        <v>43</v>
      </c>
      <c r="B45" t="s">
        <v>373</v>
      </c>
      <c r="C45">
        <v>51504</v>
      </c>
      <c r="D45" t="s">
        <v>371</v>
      </c>
      <c r="E45">
        <v>796.22900000000004</v>
      </c>
      <c r="F45">
        <v>178680</v>
      </c>
      <c r="G45">
        <v>2.6010833333333299</v>
      </c>
      <c r="H45">
        <v>0.65</v>
      </c>
      <c r="I45">
        <v>7.97</v>
      </c>
      <c r="J45">
        <v>439.64800000000002</v>
      </c>
      <c r="K45">
        <v>2</v>
      </c>
      <c r="L45">
        <v>10</v>
      </c>
      <c r="M45">
        <v>4.0833333333333304</v>
      </c>
      <c r="N45">
        <v>3.5</v>
      </c>
      <c r="O45">
        <v>5</v>
      </c>
      <c r="P45">
        <v>48.908999999999999</v>
      </c>
      <c r="Q45">
        <v>4</v>
      </c>
      <c r="R45">
        <v>12</v>
      </c>
      <c r="S45">
        <v>6.6666666666666599</v>
      </c>
      <c r="T45">
        <v>3.5</v>
      </c>
      <c r="U45">
        <v>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29761.18</v>
      </c>
      <c r="AD45">
        <v>2365.6</v>
      </c>
      <c r="AE45">
        <v>64848.968000000001</v>
      </c>
      <c r="AF45">
        <v>1165</v>
      </c>
      <c r="AG45">
        <v>7684</v>
      </c>
      <c r="AH45">
        <v>8.1999999999999993</v>
      </c>
      <c r="AI45">
        <v>9433.5360000000001</v>
      </c>
      <c r="AJ45">
        <v>5229</v>
      </c>
      <c r="AK45">
        <v>5854.3289999999997</v>
      </c>
      <c r="AL45">
        <v>8524.2000000000007</v>
      </c>
      <c r="AM45">
        <v>442.99999999999898</v>
      </c>
      <c r="AN45">
        <v>0</v>
      </c>
      <c r="AO45">
        <v>1610</v>
      </c>
      <c r="AP45">
        <v>154</v>
      </c>
      <c r="AQ45">
        <v>7887</v>
      </c>
      <c r="AR45">
        <v>24</v>
      </c>
      <c r="AS45">
        <v>0</v>
      </c>
      <c r="AT45">
        <v>226.287477842952</v>
      </c>
      <c r="AU45">
        <v>15784.8504136882</v>
      </c>
      <c r="AV45">
        <v>-0.62134651175289302</v>
      </c>
      <c r="AW45">
        <v>22.608560222119898</v>
      </c>
    </row>
    <row r="46" spans="1:49">
      <c r="A46">
        <v>44</v>
      </c>
      <c r="B46" t="s">
        <v>374</v>
      </c>
      <c r="C46">
        <v>26104</v>
      </c>
      <c r="D46" t="s">
        <v>375</v>
      </c>
      <c r="E46">
        <v>979.82899999999995</v>
      </c>
      <c r="F46">
        <v>1307864</v>
      </c>
      <c r="J46">
        <v>0</v>
      </c>
      <c r="P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88.900344672420701</v>
      </c>
      <c r="AU46">
        <v>32.690525801372701</v>
      </c>
      <c r="AV46">
        <v>-0.22256783167479899</v>
      </c>
      <c r="AW46">
        <v>16.148342056966602</v>
      </c>
    </row>
    <row r="47" spans="1:49">
      <c r="A47">
        <v>45</v>
      </c>
      <c r="B47" t="s">
        <v>376</v>
      </c>
      <c r="C47">
        <v>32403</v>
      </c>
      <c r="D47" t="s">
        <v>317</v>
      </c>
      <c r="E47">
        <v>581.99699999999996</v>
      </c>
      <c r="F47">
        <v>357595</v>
      </c>
      <c r="G47">
        <v>2.1375000000000002</v>
      </c>
      <c r="H47">
        <v>0.55000000000000004</v>
      </c>
      <c r="I47">
        <v>7.67</v>
      </c>
      <c r="J47">
        <v>183.82599999999999</v>
      </c>
      <c r="K47">
        <v>2</v>
      </c>
      <c r="L47">
        <v>6</v>
      </c>
      <c r="M47">
        <v>3.75</v>
      </c>
      <c r="N47">
        <v>3.5</v>
      </c>
      <c r="O47">
        <v>5.1420000000000003</v>
      </c>
      <c r="P47">
        <v>1.41</v>
      </c>
      <c r="Q47">
        <v>6</v>
      </c>
      <c r="R47">
        <v>6</v>
      </c>
      <c r="S47">
        <v>6</v>
      </c>
      <c r="T47">
        <v>3.5</v>
      </c>
      <c r="U47">
        <v>4</v>
      </c>
      <c r="V47">
        <v>84454.5</v>
      </c>
      <c r="W47">
        <v>0</v>
      </c>
      <c r="X47">
        <v>0</v>
      </c>
      <c r="Y47">
        <v>0</v>
      </c>
      <c r="Z47">
        <v>0</v>
      </c>
      <c r="AA47">
        <v>1955</v>
      </c>
      <c r="AB47">
        <v>2</v>
      </c>
      <c r="AC47">
        <v>183292.9</v>
      </c>
      <c r="AD47">
        <v>298.60000000000002</v>
      </c>
      <c r="AE47">
        <v>77498.53</v>
      </c>
      <c r="AF47">
        <v>700</v>
      </c>
      <c r="AG47">
        <v>9335</v>
      </c>
      <c r="AH47">
        <v>14.0999999999999</v>
      </c>
      <c r="AI47">
        <v>76414</v>
      </c>
      <c r="AJ47">
        <v>11919</v>
      </c>
      <c r="AK47">
        <v>11670.5</v>
      </c>
      <c r="AL47">
        <v>2964</v>
      </c>
      <c r="AM47">
        <v>95.899999999999807</v>
      </c>
      <c r="AN47">
        <v>0</v>
      </c>
      <c r="AO47">
        <v>1173</v>
      </c>
      <c r="AP47">
        <v>148</v>
      </c>
      <c r="AQ47">
        <v>19981</v>
      </c>
      <c r="AR47">
        <v>102</v>
      </c>
      <c r="AS47">
        <v>0</v>
      </c>
      <c r="AT47">
        <v>18.8077001489917</v>
      </c>
      <c r="AU47">
        <v>236.84712948018199</v>
      </c>
      <c r="AV47">
        <v>6.0811905363652302E-2</v>
      </c>
      <c r="AW47">
        <v>40.625832288865404</v>
      </c>
    </row>
    <row r="48" spans="1:49">
      <c r="A48">
        <v>46</v>
      </c>
      <c r="B48" t="s">
        <v>377</v>
      </c>
      <c r="C48">
        <v>62202</v>
      </c>
      <c r="D48" t="s">
        <v>323</v>
      </c>
      <c r="E48">
        <v>902.81399999999996</v>
      </c>
      <c r="F48">
        <v>314566</v>
      </c>
      <c r="G48">
        <v>2.3890833333333301</v>
      </c>
      <c r="H48">
        <v>0.64</v>
      </c>
      <c r="I48">
        <v>7.83</v>
      </c>
      <c r="J48">
        <v>504.29700000000003</v>
      </c>
      <c r="K48">
        <v>2</v>
      </c>
      <c r="L48">
        <v>6</v>
      </c>
      <c r="M48">
        <v>4.0833333333333304</v>
      </c>
      <c r="N48">
        <v>3.5</v>
      </c>
      <c r="O48">
        <v>5.2720000000000002</v>
      </c>
      <c r="P48">
        <v>7.3070000000000004</v>
      </c>
      <c r="Q48">
        <v>4</v>
      </c>
      <c r="R48">
        <v>6</v>
      </c>
      <c r="S48">
        <v>4.1666666666666599</v>
      </c>
      <c r="T48">
        <v>3.5</v>
      </c>
      <c r="U48">
        <v>4.8</v>
      </c>
      <c r="V48">
        <v>0</v>
      </c>
      <c r="W48">
        <v>0</v>
      </c>
      <c r="X48">
        <v>0</v>
      </c>
      <c r="Y48">
        <v>0</v>
      </c>
      <c r="Z48">
        <v>0</v>
      </c>
      <c r="AA48">
        <v>194</v>
      </c>
      <c r="AB48">
        <v>6</v>
      </c>
      <c r="AC48">
        <v>153733.07999999999</v>
      </c>
      <c r="AD48">
        <v>15777</v>
      </c>
      <c r="AE48">
        <v>97707.53</v>
      </c>
      <c r="AF48">
        <v>1195</v>
      </c>
      <c r="AG48">
        <v>0</v>
      </c>
      <c r="AH48">
        <v>0</v>
      </c>
      <c r="AI48">
        <v>77577.616999999998</v>
      </c>
      <c r="AJ48">
        <v>98266</v>
      </c>
      <c r="AK48">
        <v>352625.82</v>
      </c>
      <c r="AL48">
        <v>3474.25</v>
      </c>
      <c r="AM48">
        <v>16.600000000000001</v>
      </c>
      <c r="AN48">
        <v>0</v>
      </c>
      <c r="AO48">
        <v>1735</v>
      </c>
      <c r="AP48">
        <v>294</v>
      </c>
      <c r="AQ48">
        <v>0</v>
      </c>
      <c r="AR48">
        <v>128</v>
      </c>
      <c r="AS48">
        <v>4</v>
      </c>
      <c r="AT48">
        <v>157.56239096853699</v>
      </c>
      <c r="AU48">
        <v>64.596188972521702</v>
      </c>
      <c r="AV48">
        <v>-4.3239176830801702E-2</v>
      </c>
      <c r="AW48">
        <v>6.1813149927285398</v>
      </c>
    </row>
    <row r="49" spans="1:49">
      <c r="A49">
        <v>47</v>
      </c>
      <c r="B49" t="s">
        <v>378</v>
      </c>
      <c r="C49">
        <v>63903</v>
      </c>
      <c r="D49" t="s">
        <v>347</v>
      </c>
      <c r="E49">
        <v>432.70299999999997</v>
      </c>
      <c r="F49">
        <v>86796</v>
      </c>
      <c r="G49">
        <v>2.7183333333333302</v>
      </c>
      <c r="H49">
        <v>0.56000000000000005</v>
      </c>
      <c r="I49">
        <v>7.96</v>
      </c>
      <c r="J49">
        <v>352.839</v>
      </c>
      <c r="K49">
        <v>2</v>
      </c>
      <c r="L49">
        <v>6</v>
      </c>
      <c r="M49">
        <v>3.75</v>
      </c>
      <c r="N49">
        <v>3.55</v>
      </c>
      <c r="O49">
        <v>5</v>
      </c>
      <c r="P49">
        <v>5.21</v>
      </c>
      <c r="Q49">
        <v>4</v>
      </c>
      <c r="R49">
        <v>4</v>
      </c>
      <c r="S49">
        <v>4</v>
      </c>
      <c r="T49">
        <v>3.6043333333333298</v>
      </c>
      <c r="U49">
        <v>5.5166666666666604</v>
      </c>
      <c r="V49">
        <v>0</v>
      </c>
      <c r="W49">
        <v>30000</v>
      </c>
      <c r="X49">
        <v>3</v>
      </c>
      <c r="Y49">
        <v>0</v>
      </c>
      <c r="Z49">
        <v>0</v>
      </c>
      <c r="AA49">
        <v>367.16500000000002</v>
      </c>
      <c r="AB49">
        <v>2</v>
      </c>
      <c r="AC49">
        <v>100899.769999999</v>
      </c>
      <c r="AD49">
        <v>11507.2</v>
      </c>
      <c r="AE49">
        <v>151166.71</v>
      </c>
      <c r="AF49">
        <v>3369.7</v>
      </c>
      <c r="AG49">
        <v>23022</v>
      </c>
      <c r="AH49">
        <v>40.6</v>
      </c>
      <c r="AI49">
        <v>104355.171</v>
      </c>
      <c r="AJ49">
        <v>34413</v>
      </c>
      <c r="AK49">
        <v>34400.985999999997</v>
      </c>
      <c r="AL49">
        <v>12154</v>
      </c>
      <c r="AM49">
        <v>189.98</v>
      </c>
      <c r="AN49">
        <v>0</v>
      </c>
      <c r="AO49">
        <v>1737</v>
      </c>
      <c r="AP49">
        <v>180</v>
      </c>
      <c r="AQ49">
        <v>37803</v>
      </c>
      <c r="AR49">
        <v>91</v>
      </c>
      <c r="AS49">
        <v>0</v>
      </c>
      <c r="AT49">
        <v>174.621418028677</v>
      </c>
      <c r="AU49">
        <v>386.33017776499003</v>
      </c>
      <c r="AV49">
        <v>1.7410826789916799E-2</v>
      </c>
      <c r="AW49">
        <v>11.424861590155899</v>
      </c>
    </row>
    <row r="50" spans="1:49">
      <c r="A50">
        <v>48</v>
      </c>
      <c r="B50" t="s">
        <v>379</v>
      </c>
      <c r="C50">
        <v>63303</v>
      </c>
      <c r="D50" t="s">
        <v>323</v>
      </c>
      <c r="E50">
        <v>714.72399999999902</v>
      </c>
      <c r="F50">
        <v>209949</v>
      </c>
      <c r="G50">
        <v>2.2221538461538399</v>
      </c>
      <c r="H50">
        <v>0.57999999999999996</v>
      </c>
      <c r="I50">
        <v>7.9</v>
      </c>
      <c r="J50">
        <v>461.72500000000002</v>
      </c>
      <c r="K50">
        <v>1</v>
      </c>
      <c r="L50">
        <v>6</v>
      </c>
      <c r="M50">
        <v>4.0769230769230704</v>
      </c>
      <c r="N50">
        <v>3.5</v>
      </c>
      <c r="O50">
        <v>6.4379999999999997</v>
      </c>
      <c r="P50">
        <v>30.096</v>
      </c>
      <c r="Q50">
        <v>4</v>
      </c>
      <c r="R50">
        <v>6</v>
      </c>
      <c r="S50">
        <v>4.1666666666666599</v>
      </c>
      <c r="T50">
        <v>3.5</v>
      </c>
      <c r="U50">
        <v>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104737.88</v>
      </c>
      <c r="AD50">
        <v>17851.64</v>
      </c>
      <c r="AE50">
        <v>166736.432</v>
      </c>
      <c r="AF50">
        <v>3290.3</v>
      </c>
      <c r="AG50">
        <v>15479</v>
      </c>
      <c r="AH50">
        <v>195.89999999999901</v>
      </c>
      <c r="AI50">
        <v>107847.5</v>
      </c>
      <c r="AJ50">
        <v>25975</v>
      </c>
      <c r="AK50">
        <v>26653.845000000001</v>
      </c>
      <c r="AL50">
        <v>14920.5</v>
      </c>
      <c r="AM50">
        <v>188.2</v>
      </c>
      <c r="AN50">
        <v>0</v>
      </c>
      <c r="AO50">
        <v>2704</v>
      </c>
      <c r="AP50">
        <v>457</v>
      </c>
      <c r="AQ50">
        <v>19057</v>
      </c>
      <c r="AR50">
        <v>239</v>
      </c>
      <c r="AS50">
        <v>0</v>
      </c>
      <c r="AT50">
        <v>138.49809968308199</v>
      </c>
      <c r="AU50">
        <v>380.09858309733102</v>
      </c>
      <c r="AV50">
        <v>4.99885235974473E-2</v>
      </c>
      <c r="AW50">
        <v>10.0354356748778</v>
      </c>
    </row>
    <row r="51" spans="1:49">
      <c r="A51">
        <v>49</v>
      </c>
      <c r="B51" t="s">
        <v>380</v>
      </c>
      <c r="C51">
        <v>33103</v>
      </c>
      <c r="D51" t="s">
        <v>317</v>
      </c>
      <c r="E51">
        <v>536.827</v>
      </c>
      <c r="F51">
        <v>55512</v>
      </c>
      <c r="G51">
        <v>2.7422499999999999</v>
      </c>
      <c r="H51">
        <v>0.74</v>
      </c>
      <c r="I51">
        <v>7.76</v>
      </c>
      <c r="J51">
        <v>268.19</v>
      </c>
      <c r="K51">
        <v>1</v>
      </c>
      <c r="L51">
        <v>6</v>
      </c>
      <c r="M51">
        <v>3.5</v>
      </c>
      <c r="N51">
        <v>3.5</v>
      </c>
      <c r="O51">
        <v>5</v>
      </c>
      <c r="P51">
        <v>3.3439999999999999</v>
      </c>
      <c r="Q51">
        <v>4</v>
      </c>
      <c r="R51">
        <v>4</v>
      </c>
      <c r="S51">
        <v>4</v>
      </c>
      <c r="V51">
        <v>21936</v>
      </c>
      <c r="W51">
        <v>0</v>
      </c>
      <c r="X51">
        <v>3</v>
      </c>
      <c r="Y51">
        <v>0</v>
      </c>
      <c r="Z51">
        <v>0</v>
      </c>
      <c r="AA51">
        <v>158</v>
      </c>
      <c r="AB51">
        <v>2</v>
      </c>
      <c r="AC51">
        <v>42015.05</v>
      </c>
      <c r="AD51">
        <v>7456.4</v>
      </c>
      <c r="AE51">
        <v>119997.3</v>
      </c>
      <c r="AF51">
        <v>940</v>
      </c>
      <c r="AG51">
        <v>49936.5</v>
      </c>
      <c r="AH51">
        <v>115.599999999999</v>
      </c>
      <c r="AI51">
        <v>96801</v>
      </c>
      <c r="AJ51">
        <v>64861.3</v>
      </c>
      <c r="AK51">
        <v>63902.304999999898</v>
      </c>
      <c r="AL51">
        <v>22364</v>
      </c>
      <c r="AM51">
        <v>641.299999999997</v>
      </c>
      <c r="AN51">
        <v>0.2</v>
      </c>
      <c r="AO51">
        <v>2785</v>
      </c>
      <c r="AP51">
        <v>399</v>
      </c>
      <c r="AQ51">
        <v>722</v>
      </c>
      <c r="AR51">
        <v>127</v>
      </c>
      <c r="AS51">
        <v>0</v>
      </c>
      <c r="AT51">
        <v>36.928204450859802</v>
      </c>
      <c r="AU51">
        <v>1161.6493430989899</v>
      </c>
      <c r="AV51">
        <v>0.20091750152129201</v>
      </c>
      <c r="AW51">
        <v>51.655285230416503</v>
      </c>
    </row>
    <row r="52" spans="1:49">
      <c r="A52">
        <v>50</v>
      </c>
      <c r="B52" t="s">
        <v>381</v>
      </c>
      <c r="C52">
        <v>42606</v>
      </c>
      <c r="D52" t="s">
        <v>331</v>
      </c>
      <c r="E52">
        <v>764.62400000000002</v>
      </c>
      <c r="F52">
        <v>514328</v>
      </c>
      <c r="G52">
        <v>2.6442222222222198</v>
      </c>
      <c r="H52">
        <v>0.68</v>
      </c>
      <c r="I52">
        <v>7.87</v>
      </c>
      <c r="J52">
        <v>163.82399999999899</v>
      </c>
      <c r="K52">
        <v>2</v>
      </c>
      <c r="L52">
        <v>10</v>
      </c>
      <c r="M52">
        <v>4.3333333333333304</v>
      </c>
      <c r="N52">
        <v>8.25</v>
      </c>
      <c r="O52">
        <v>12.25</v>
      </c>
      <c r="P52">
        <v>246.49600000000001</v>
      </c>
      <c r="Q52">
        <v>2</v>
      </c>
      <c r="R52">
        <v>12</v>
      </c>
      <c r="S52">
        <v>6.71428571428571</v>
      </c>
      <c r="T52">
        <v>4.5999999999999996</v>
      </c>
      <c r="U52">
        <v>5.556</v>
      </c>
      <c r="V52">
        <v>0</v>
      </c>
      <c r="W52">
        <v>0</v>
      </c>
      <c r="X52">
        <v>0</v>
      </c>
      <c r="Y52">
        <v>0</v>
      </c>
      <c r="Z52">
        <v>0</v>
      </c>
      <c r="AA52">
        <v>1600</v>
      </c>
      <c r="AB52">
        <v>1</v>
      </c>
      <c r="AC52">
        <v>117460.82</v>
      </c>
      <c r="AD52">
        <v>244</v>
      </c>
      <c r="AE52">
        <v>115982.3</v>
      </c>
      <c r="AF52">
        <v>4699</v>
      </c>
      <c r="AG52">
        <v>20775495</v>
      </c>
      <c r="AH52">
        <v>77.400000000000006</v>
      </c>
      <c r="AI52">
        <v>114490.5</v>
      </c>
      <c r="AJ52">
        <v>67970.899999999994</v>
      </c>
      <c r="AK52">
        <v>281802.71999999997</v>
      </c>
      <c r="AL52">
        <v>2734510.1</v>
      </c>
      <c r="AM52">
        <v>156</v>
      </c>
      <c r="AN52">
        <v>0</v>
      </c>
      <c r="AO52">
        <v>2248</v>
      </c>
      <c r="AP52">
        <v>399</v>
      </c>
      <c r="AQ52">
        <v>6718</v>
      </c>
      <c r="AR52">
        <v>85</v>
      </c>
      <c r="AS52">
        <v>0</v>
      </c>
      <c r="AT52">
        <v>36.332930080560701</v>
      </c>
      <c r="AU52">
        <v>239.92035622956499</v>
      </c>
      <c r="AV52">
        <v>-7.1620957851163694E-2</v>
      </c>
      <c r="AW52">
        <v>16.188131955315701</v>
      </c>
    </row>
    <row r="53" spans="1:49">
      <c r="A53">
        <v>51</v>
      </c>
      <c r="B53" t="s">
        <v>382</v>
      </c>
      <c r="C53">
        <v>33501</v>
      </c>
      <c r="D53" t="s">
        <v>338</v>
      </c>
      <c r="E53">
        <v>599.34199999999998</v>
      </c>
      <c r="F53">
        <v>460779</v>
      </c>
      <c r="G53">
        <v>2.2090000000000001</v>
      </c>
      <c r="H53">
        <v>0.53</v>
      </c>
      <c r="I53">
        <v>7.89</v>
      </c>
      <c r="J53">
        <v>136.81299999999999</v>
      </c>
      <c r="K53">
        <v>2</v>
      </c>
      <c r="L53">
        <v>8</v>
      </c>
      <c r="M53">
        <v>3.6</v>
      </c>
      <c r="N53">
        <v>3.536</v>
      </c>
      <c r="O53">
        <v>5</v>
      </c>
      <c r="P53">
        <v>29.244999999999902</v>
      </c>
      <c r="Q53">
        <v>2</v>
      </c>
      <c r="R53">
        <v>6</v>
      </c>
      <c r="S53">
        <v>4.75</v>
      </c>
      <c r="T53">
        <v>3.4375</v>
      </c>
      <c r="U53">
        <v>5</v>
      </c>
      <c r="V53">
        <v>0</v>
      </c>
      <c r="W53">
        <v>0</v>
      </c>
      <c r="X53">
        <v>0</v>
      </c>
      <c r="Y53">
        <v>30</v>
      </c>
      <c r="Z53">
        <v>1</v>
      </c>
      <c r="AA53">
        <v>25.5</v>
      </c>
      <c r="AB53">
        <v>1</v>
      </c>
      <c r="AC53">
        <v>90565</v>
      </c>
      <c r="AD53">
        <v>6216.25</v>
      </c>
      <c r="AE53">
        <v>1167.6279999999999</v>
      </c>
      <c r="AF53">
        <v>90</v>
      </c>
      <c r="AG53">
        <v>36417</v>
      </c>
      <c r="AH53">
        <v>32</v>
      </c>
      <c r="AI53">
        <v>32936</v>
      </c>
      <c r="AJ53">
        <v>2560</v>
      </c>
      <c r="AK53">
        <v>13480</v>
      </c>
      <c r="AL53">
        <v>15681</v>
      </c>
      <c r="AM53">
        <v>120.6</v>
      </c>
      <c r="AN53">
        <v>0</v>
      </c>
      <c r="AO53">
        <v>927</v>
      </c>
      <c r="AP53">
        <v>63</v>
      </c>
      <c r="AQ53">
        <v>0</v>
      </c>
      <c r="AR53">
        <v>64</v>
      </c>
      <c r="AS53">
        <v>0</v>
      </c>
      <c r="AT53">
        <v>26.385854946221301</v>
      </c>
      <c r="AU53">
        <v>149.366710271492</v>
      </c>
      <c r="AV53">
        <v>4.4123984869023303E-2</v>
      </c>
      <c r="AW53">
        <v>10.7034225455886</v>
      </c>
    </row>
    <row r="54" spans="1:49">
      <c r="A54">
        <v>52</v>
      </c>
      <c r="B54" t="s">
        <v>383</v>
      </c>
      <c r="C54">
        <v>63504</v>
      </c>
      <c r="D54" t="s">
        <v>323</v>
      </c>
      <c r="E54">
        <v>774.39200000000005</v>
      </c>
      <c r="F54">
        <v>198033</v>
      </c>
      <c r="G54">
        <v>2.1139999999999999</v>
      </c>
      <c r="H54">
        <v>0.61</v>
      </c>
      <c r="I54">
        <v>7.84</v>
      </c>
      <c r="J54">
        <v>399.904</v>
      </c>
      <c r="K54">
        <v>1</v>
      </c>
      <c r="L54">
        <v>8</v>
      </c>
      <c r="M54">
        <v>4.25</v>
      </c>
      <c r="N54">
        <v>3.508</v>
      </c>
      <c r="O54">
        <v>5.0209999999999999</v>
      </c>
      <c r="P54">
        <v>13.931999999999899</v>
      </c>
      <c r="Q54">
        <v>4</v>
      </c>
      <c r="R54">
        <v>6</v>
      </c>
      <c r="S54">
        <v>4.5</v>
      </c>
      <c r="T54">
        <v>3.4976666666666598</v>
      </c>
      <c r="U54">
        <v>4.4856666666666598</v>
      </c>
      <c r="V54">
        <v>0</v>
      </c>
      <c r="W54">
        <v>0</v>
      </c>
      <c r="X54">
        <v>3</v>
      </c>
      <c r="Y54">
        <v>0</v>
      </c>
      <c r="Z54">
        <v>0</v>
      </c>
      <c r="AA54">
        <v>0</v>
      </c>
      <c r="AB54">
        <v>0</v>
      </c>
      <c r="AC54">
        <v>84506.319000000003</v>
      </c>
      <c r="AD54">
        <v>53034.8</v>
      </c>
      <c r="AE54">
        <v>160415.84199999899</v>
      </c>
      <c r="AF54">
        <v>2739.55</v>
      </c>
      <c r="AG54">
        <v>8046</v>
      </c>
      <c r="AH54">
        <v>120.19999999999899</v>
      </c>
      <c r="AI54">
        <v>143936</v>
      </c>
      <c r="AJ54">
        <v>7923</v>
      </c>
      <c r="AK54">
        <v>30058.400000000001</v>
      </c>
      <c r="AL54">
        <v>10278.6</v>
      </c>
      <c r="AM54">
        <v>424.9</v>
      </c>
      <c r="AN54">
        <v>26</v>
      </c>
      <c r="AO54">
        <v>2136</v>
      </c>
      <c r="AP54">
        <v>395</v>
      </c>
      <c r="AQ54">
        <v>47931</v>
      </c>
      <c r="AR54">
        <v>201</v>
      </c>
      <c r="AS54">
        <v>0</v>
      </c>
      <c r="AT54">
        <v>147.514811612138</v>
      </c>
      <c r="AU54">
        <v>35.455692832782503</v>
      </c>
      <c r="AV54">
        <v>2.0802371559758701E-2</v>
      </c>
      <c r="AW54">
        <v>5.9101415764222498</v>
      </c>
    </row>
    <row r="55" spans="1:49">
      <c r="A55">
        <v>53</v>
      </c>
      <c r="B55" t="s">
        <v>384</v>
      </c>
      <c r="C55">
        <v>43102</v>
      </c>
      <c r="D55" t="s">
        <v>356</v>
      </c>
      <c r="E55">
        <v>691.81700000000001</v>
      </c>
      <c r="F55">
        <v>339685</v>
      </c>
      <c r="G55">
        <v>2.70771428571428</v>
      </c>
      <c r="H55">
        <v>0.68</v>
      </c>
      <c r="I55">
        <v>7.88</v>
      </c>
      <c r="J55">
        <v>123.452</v>
      </c>
      <c r="K55">
        <v>2</v>
      </c>
      <c r="L55">
        <v>8</v>
      </c>
      <c r="M55">
        <v>4</v>
      </c>
      <c r="N55">
        <v>3.5</v>
      </c>
      <c r="O55">
        <v>5.45</v>
      </c>
      <c r="P55">
        <v>84.381</v>
      </c>
      <c r="Q55">
        <v>4</v>
      </c>
      <c r="R55">
        <v>8</v>
      </c>
      <c r="S55">
        <v>5.4</v>
      </c>
      <c r="T55">
        <v>3.4</v>
      </c>
      <c r="U55">
        <v>4.66</v>
      </c>
      <c r="V55">
        <v>0</v>
      </c>
      <c r="W55">
        <v>0</v>
      </c>
      <c r="X55">
        <v>6</v>
      </c>
      <c r="Y55">
        <v>0</v>
      </c>
      <c r="Z55">
        <v>0</v>
      </c>
      <c r="AA55">
        <v>0</v>
      </c>
      <c r="AB55">
        <v>0</v>
      </c>
      <c r="AC55">
        <v>117675.91</v>
      </c>
      <c r="AD55">
        <v>1527813.6</v>
      </c>
      <c r="AE55">
        <v>81574.805999999997</v>
      </c>
      <c r="AF55">
        <v>2263</v>
      </c>
      <c r="AG55">
        <v>26405</v>
      </c>
      <c r="AH55">
        <v>26.7</v>
      </c>
      <c r="AI55">
        <v>73871.370999999999</v>
      </c>
      <c r="AJ55">
        <v>27071</v>
      </c>
      <c r="AK55">
        <v>143456.74</v>
      </c>
      <c r="AL55">
        <v>9271.4500000000007</v>
      </c>
      <c r="AM55">
        <v>324.159999999999</v>
      </c>
      <c r="AN55">
        <v>0</v>
      </c>
      <c r="AO55">
        <v>644</v>
      </c>
      <c r="AP55">
        <v>166</v>
      </c>
      <c r="AQ55">
        <v>7129</v>
      </c>
      <c r="AR55">
        <v>97</v>
      </c>
      <c r="AS55">
        <v>0</v>
      </c>
      <c r="AT55">
        <v>44.3676473598385</v>
      </c>
      <c r="AU55">
        <v>140.284816786954</v>
      </c>
      <c r="AV55">
        <v>0.13792658144012901</v>
      </c>
      <c r="AW55">
        <v>10.538111431514</v>
      </c>
    </row>
    <row r="56" spans="1:49">
      <c r="A56">
        <v>54</v>
      </c>
      <c r="B56" t="s">
        <v>385</v>
      </c>
      <c r="C56">
        <v>43501</v>
      </c>
      <c r="D56" t="s">
        <v>356</v>
      </c>
      <c r="E56">
        <v>749.26</v>
      </c>
      <c r="F56">
        <v>281854</v>
      </c>
      <c r="G56">
        <v>2.4909333333333299</v>
      </c>
      <c r="H56">
        <v>0.59</v>
      </c>
      <c r="I56">
        <v>7.69</v>
      </c>
      <c r="J56">
        <v>365.61099999999999</v>
      </c>
      <c r="K56">
        <v>2</v>
      </c>
      <c r="L56">
        <v>6</v>
      </c>
      <c r="M56">
        <v>3.1333333333333302</v>
      </c>
      <c r="N56">
        <v>3.5</v>
      </c>
      <c r="O56">
        <v>6.3</v>
      </c>
      <c r="P56">
        <v>0.35599999999999998</v>
      </c>
      <c r="Q56">
        <v>4</v>
      </c>
      <c r="R56">
        <v>6</v>
      </c>
      <c r="S56">
        <v>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35358.300000000003</v>
      </c>
      <c r="AD56">
        <v>0</v>
      </c>
      <c r="AE56">
        <v>96160.521999999895</v>
      </c>
      <c r="AF56">
        <v>4115</v>
      </c>
      <c r="AG56">
        <v>5840</v>
      </c>
      <c r="AH56">
        <v>4.8</v>
      </c>
      <c r="AI56">
        <v>111085</v>
      </c>
      <c r="AJ56">
        <v>86031</v>
      </c>
      <c r="AK56">
        <v>132696.60999999999</v>
      </c>
      <c r="AL56">
        <v>8069.51</v>
      </c>
      <c r="AM56">
        <v>296.79999999999899</v>
      </c>
      <c r="AN56">
        <v>0</v>
      </c>
      <c r="AO56">
        <v>1628</v>
      </c>
      <c r="AP56">
        <v>405</v>
      </c>
      <c r="AQ56">
        <v>50607</v>
      </c>
      <c r="AR56">
        <v>101</v>
      </c>
      <c r="AS56">
        <v>0</v>
      </c>
      <c r="AT56">
        <v>120.722206284064</v>
      </c>
      <c r="AU56">
        <v>1287.3020882324699</v>
      </c>
      <c r="AV56">
        <v>0.14935077606379299</v>
      </c>
      <c r="AW56">
        <v>9.3734293999473604</v>
      </c>
    </row>
    <row r="57" spans="1:49">
      <c r="A57">
        <v>55</v>
      </c>
      <c r="B57" t="s">
        <v>386</v>
      </c>
      <c r="C57">
        <v>52301</v>
      </c>
      <c r="D57" t="s">
        <v>387</v>
      </c>
      <c r="E57">
        <v>765.85</v>
      </c>
      <c r="F57">
        <v>226400</v>
      </c>
      <c r="G57">
        <v>2.6518888888888799</v>
      </c>
      <c r="H57">
        <v>0.68</v>
      </c>
      <c r="I57">
        <v>7.94</v>
      </c>
      <c r="J57">
        <v>325.697</v>
      </c>
      <c r="K57">
        <v>1</v>
      </c>
      <c r="L57">
        <v>8</v>
      </c>
      <c r="M57">
        <v>3.625</v>
      </c>
      <c r="N57">
        <v>3.5</v>
      </c>
      <c r="O57">
        <v>5</v>
      </c>
      <c r="P57">
        <v>175.834</v>
      </c>
      <c r="Q57">
        <v>1</v>
      </c>
      <c r="R57">
        <v>8</v>
      </c>
      <c r="S57">
        <v>5.5</v>
      </c>
      <c r="T57">
        <v>3.5</v>
      </c>
      <c r="U57">
        <v>4.75</v>
      </c>
      <c r="V57">
        <v>0</v>
      </c>
      <c r="W57">
        <v>0</v>
      </c>
      <c r="X57">
        <v>5</v>
      </c>
      <c r="Y57">
        <v>0</v>
      </c>
      <c r="Z57">
        <v>0</v>
      </c>
      <c r="AA57">
        <v>350</v>
      </c>
      <c r="AB57">
        <v>1</v>
      </c>
      <c r="AC57">
        <v>113112.2</v>
      </c>
      <c r="AD57">
        <v>3493987.95</v>
      </c>
      <c r="AE57">
        <v>77992.91</v>
      </c>
      <c r="AF57">
        <v>2815.5</v>
      </c>
      <c r="AG57">
        <v>21680.794999999998</v>
      </c>
      <c r="AH57">
        <v>6</v>
      </c>
      <c r="AI57">
        <v>75398.756999999998</v>
      </c>
      <c r="AJ57">
        <v>63994</v>
      </c>
      <c r="AK57">
        <v>40500.527000000002</v>
      </c>
      <c r="AL57">
        <v>31072.28</v>
      </c>
      <c r="AM57">
        <v>403.82999999999902</v>
      </c>
      <c r="AN57">
        <v>0</v>
      </c>
      <c r="AO57">
        <v>3319</v>
      </c>
      <c r="AP57">
        <v>465</v>
      </c>
      <c r="AQ57">
        <v>54883</v>
      </c>
      <c r="AR57">
        <v>112</v>
      </c>
      <c r="AS57">
        <v>0</v>
      </c>
      <c r="AT57">
        <v>264.47192316630202</v>
      </c>
      <c r="AU57">
        <v>1817.5774630737101</v>
      </c>
      <c r="AV57">
        <v>0.104938444467815</v>
      </c>
      <c r="AW57">
        <v>16.503114453144601</v>
      </c>
    </row>
    <row r="58" spans="1:49">
      <c r="A58">
        <v>56</v>
      </c>
      <c r="B58" t="s">
        <v>388</v>
      </c>
      <c r="C58">
        <v>52804</v>
      </c>
      <c r="D58" t="s">
        <v>387</v>
      </c>
      <c r="E58">
        <v>668.39700000000005</v>
      </c>
      <c r="F58">
        <v>234353</v>
      </c>
      <c r="G58">
        <v>2.3759090909090901</v>
      </c>
      <c r="H58">
        <v>0.56999999999999995</v>
      </c>
      <c r="I58">
        <v>7.95</v>
      </c>
      <c r="J58">
        <v>409.296999999999</v>
      </c>
      <c r="K58">
        <v>2</v>
      </c>
      <c r="L58">
        <v>6</v>
      </c>
      <c r="M58">
        <v>3</v>
      </c>
      <c r="N58">
        <v>3.5</v>
      </c>
      <c r="O58">
        <v>5.38</v>
      </c>
      <c r="P58">
        <v>62.307000000000002</v>
      </c>
      <c r="Q58">
        <v>4</v>
      </c>
      <c r="R58">
        <v>8</v>
      </c>
      <c r="S58">
        <v>4.2</v>
      </c>
      <c r="T58">
        <v>3.5</v>
      </c>
      <c r="U58">
        <v>4.8666</v>
      </c>
      <c r="V58">
        <v>14385</v>
      </c>
      <c r="W58">
        <v>0</v>
      </c>
      <c r="X58">
        <v>3</v>
      </c>
      <c r="Y58">
        <v>50</v>
      </c>
      <c r="Z58">
        <v>0</v>
      </c>
      <c r="AA58">
        <v>0</v>
      </c>
      <c r="AB58">
        <v>0</v>
      </c>
      <c r="AC58">
        <v>42731.040000000001</v>
      </c>
      <c r="AD58">
        <v>2269</v>
      </c>
      <c r="AE58">
        <v>96702.29</v>
      </c>
      <c r="AF58">
        <v>1911.1579999999999</v>
      </c>
      <c r="AG58">
        <v>217</v>
      </c>
      <c r="AH58">
        <v>1.6</v>
      </c>
      <c r="AI58">
        <v>114741.32</v>
      </c>
      <c r="AJ58">
        <v>38989</v>
      </c>
      <c r="AK58">
        <v>39180.6</v>
      </c>
      <c r="AL58">
        <v>13569.9</v>
      </c>
      <c r="AM58">
        <v>282.29999999999899</v>
      </c>
      <c r="AN58">
        <v>0</v>
      </c>
      <c r="AO58">
        <v>3062</v>
      </c>
      <c r="AP58">
        <v>216</v>
      </c>
      <c r="AQ58">
        <v>0</v>
      </c>
      <c r="AR58">
        <v>84</v>
      </c>
      <c r="AS58">
        <v>0</v>
      </c>
      <c r="AT58">
        <v>357.60081621549898</v>
      </c>
      <c r="AU58">
        <v>10148.1856839267</v>
      </c>
      <c r="AV58">
        <v>-7.3669329337627196E-2</v>
      </c>
      <c r="AW58">
        <v>51.707388460396402</v>
      </c>
    </row>
    <row r="59" spans="1:49">
      <c r="A59">
        <v>57</v>
      </c>
      <c r="B59" t="s">
        <v>389</v>
      </c>
      <c r="C59">
        <v>52405</v>
      </c>
      <c r="D59" t="s">
        <v>387</v>
      </c>
      <c r="E59">
        <v>646.697</v>
      </c>
      <c r="F59">
        <v>226287</v>
      </c>
      <c r="G59">
        <v>2.79049999999999</v>
      </c>
      <c r="H59">
        <v>0.9</v>
      </c>
      <c r="I59">
        <v>7.81</v>
      </c>
      <c r="J59">
        <v>27.716999999999999</v>
      </c>
      <c r="K59">
        <v>1</v>
      </c>
      <c r="L59">
        <v>6</v>
      </c>
      <c r="M59">
        <v>2.75</v>
      </c>
      <c r="N59">
        <v>3.5</v>
      </c>
      <c r="O59">
        <v>3</v>
      </c>
      <c r="P59">
        <v>117.371</v>
      </c>
      <c r="Q59">
        <v>1</v>
      </c>
      <c r="R59">
        <v>9</v>
      </c>
      <c r="S59">
        <v>4.25</v>
      </c>
      <c r="T59">
        <v>3.5</v>
      </c>
      <c r="U59">
        <v>3.75</v>
      </c>
      <c r="V59">
        <v>0</v>
      </c>
      <c r="W59">
        <v>2000</v>
      </c>
      <c r="X59">
        <v>3</v>
      </c>
      <c r="Y59">
        <v>0</v>
      </c>
      <c r="Z59">
        <v>0</v>
      </c>
      <c r="AA59">
        <v>0</v>
      </c>
      <c r="AB59">
        <v>0</v>
      </c>
      <c r="AC59">
        <v>45563.94</v>
      </c>
      <c r="AD59">
        <v>8428.65</v>
      </c>
      <c r="AE59">
        <v>145095.42399999901</v>
      </c>
      <c r="AF59">
        <v>7144</v>
      </c>
      <c r="AG59">
        <v>13738.39</v>
      </c>
      <c r="AH59">
        <v>288.599999999999</v>
      </c>
      <c r="AI59">
        <v>73359</v>
      </c>
      <c r="AJ59">
        <v>98546.5</v>
      </c>
      <c r="AK59">
        <v>73689.669999999896</v>
      </c>
      <c r="AL59">
        <v>9662.23</v>
      </c>
      <c r="AM59">
        <v>343.24999999999898</v>
      </c>
      <c r="AN59">
        <v>0</v>
      </c>
      <c r="AO59">
        <v>3363</v>
      </c>
      <c r="AP59">
        <v>518</v>
      </c>
      <c r="AQ59">
        <v>0</v>
      </c>
      <c r="AR59">
        <v>114</v>
      </c>
      <c r="AS59">
        <v>0</v>
      </c>
      <c r="AT59">
        <v>363.73505346288403</v>
      </c>
      <c r="AU59">
        <v>1826.5473868920201</v>
      </c>
      <c r="AV59">
        <v>1.4812567103157599E-2</v>
      </c>
      <c r="AW59">
        <v>15.1821432582641</v>
      </c>
    </row>
    <row r="60" spans="1:49">
      <c r="A60">
        <v>58</v>
      </c>
      <c r="B60" t="s">
        <v>390</v>
      </c>
      <c r="C60">
        <v>63802</v>
      </c>
      <c r="D60" t="s">
        <v>391</v>
      </c>
      <c r="E60">
        <v>766.24900000000002</v>
      </c>
      <c r="F60">
        <v>163917</v>
      </c>
      <c r="G60">
        <v>2.3562500000000002</v>
      </c>
      <c r="H60">
        <v>0.56999999999999995</v>
      </c>
      <c r="I60">
        <v>7.86</v>
      </c>
      <c r="J60">
        <v>637.53499999999997</v>
      </c>
      <c r="K60">
        <v>1</v>
      </c>
      <c r="L60">
        <v>10</v>
      </c>
      <c r="M60">
        <v>3</v>
      </c>
      <c r="N60">
        <v>3.5</v>
      </c>
      <c r="O60">
        <v>5</v>
      </c>
      <c r="P60">
        <v>11.427</v>
      </c>
      <c r="Q60">
        <v>2</v>
      </c>
      <c r="R60">
        <v>7</v>
      </c>
      <c r="S60">
        <v>4</v>
      </c>
      <c r="T60">
        <v>3.5</v>
      </c>
      <c r="U60">
        <v>4</v>
      </c>
      <c r="V60">
        <v>0</v>
      </c>
      <c r="W60">
        <v>0</v>
      </c>
      <c r="X60">
        <v>0</v>
      </c>
      <c r="Y60">
        <v>0</v>
      </c>
      <c r="Z60">
        <v>0</v>
      </c>
      <c r="AA60">
        <v>60</v>
      </c>
      <c r="AB60">
        <v>2</v>
      </c>
      <c r="AC60">
        <v>150483.56</v>
      </c>
      <c r="AD60">
        <v>6850.8</v>
      </c>
      <c r="AE60">
        <v>25299.377</v>
      </c>
      <c r="AF60">
        <v>2587.3000000000002</v>
      </c>
      <c r="AG60">
        <v>3164</v>
      </c>
      <c r="AH60">
        <v>12.1999999999999</v>
      </c>
      <c r="AI60">
        <v>94874</v>
      </c>
      <c r="AJ60">
        <v>6951</v>
      </c>
      <c r="AK60">
        <v>9577.9836400000004</v>
      </c>
      <c r="AL60">
        <v>7546.1</v>
      </c>
      <c r="AM60">
        <v>322.19999999999902</v>
      </c>
      <c r="AN60">
        <v>0</v>
      </c>
      <c r="AO60">
        <v>906</v>
      </c>
      <c r="AP60">
        <v>181</v>
      </c>
      <c r="AQ60">
        <v>13970</v>
      </c>
      <c r="AR60">
        <v>121</v>
      </c>
      <c r="AS60">
        <v>0</v>
      </c>
      <c r="AT60">
        <v>135.08012082027301</v>
      </c>
      <c r="AU60">
        <v>14.7458859242064</v>
      </c>
      <c r="AV60">
        <v>-3.65005363468427E-2</v>
      </c>
      <c r="AW60">
        <v>5.3259759071018999</v>
      </c>
    </row>
    <row r="61" spans="1:49">
      <c r="A61">
        <v>59</v>
      </c>
      <c r="B61" t="s">
        <v>392</v>
      </c>
      <c r="C61">
        <v>63603</v>
      </c>
      <c r="D61" t="s">
        <v>391</v>
      </c>
      <c r="E61">
        <v>685.22799999999995</v>
      </c>
      <c r="F61">
        <v>109174</v>
      </c>
      <c r="G61">
        <v>2.3093333333333299</v>
      </c>
      <c r="H61">
        <v>0.75</v>
      </c>
      <c r="I61">
        <v>7.68</v>
      </c>
      <c r="J61">
        <v>79.168000000000006</v>
      </c>
      <c r="K61">
        <v>2</v>
      </c>
      <c r="L61">
        <v>4</v>
      </c>
      <c r="M61">
        <v>2.6666666666666599</v>
      </c>
      <c r="N61">
        <v>3.5</v>
      </c>
      <c r="O61">
        <v>5</v>
      </c>
      <c r="P61">
        <v>31.803999999999998</v>
      </c>
      <c r="Q61">
        <v>4</v>
      </c>
      <c r="R61">
        <v>4</v>
      </c>
      <c r="S61">
        <v>4</v>
      </c>
      <c r="T61">
        <v>3.5</v>
      </c>
      <c r="U61">
        <v>5</v>
      </c>
      <c r="V61">
        <v>0</v>
      </c>
      <c r="W61">
        <v>0</v>
      </c>
      <c r="X61">
        <v>0</v>
      </c>
      <c r="Y61">
        <v>0</v>
      </c>
      <c r="Z61">
        <v>0</v>
      </c>
      <c r="AA61">
        <v>400</v>
      </c>
      <c r="AB61">
        <v>4</v>
      </c>
      <c r="AC61">
        <v>95127.959999999905</v>
      </c>
      <c r="AD61">
        <v>21599.5</v>
      </c>
      <c r="AE61">
        <v>196992.454</v>
      </c>
      <c r="AF61">
        <v>1845</v>
      </c>
      <c r="AG61">
        <v>4409</v>
      </c>
      <c r="AH61">
        <v>22</v>
      </c>
      <c r="AI61">
        <v>52262</v>
      </c>
      <c r="AJ61">
        <v>13734</v>
      </c>
      <c r="AK61">
        <v>3584257.5775000001</v>
      </c>
      <c r="AL61">
        <v>7745.6</v>
      </c>
      <c r="AM61">
        <v>359</v>
      </c>
      <c r="AN61">
        <v>0</v>
      </c>
      <c r="AO61">
        <v>1833</v>
      </c>
      <c r="AP61">
        <v>42</v>
      </c>
      <c r="AQ61">
        <v>11058</v>
      </c>
      <c r="AR61">
        <v>98</v>
      </c>
      <c r="AS61">
        <v>0</v>
      </c>
      <c r="AT61">
        <v>172.94053207981801</v>
      </c>
      <c r="AU61">
        <v>2011.44563247001</v>
      </c>
      <c r="AV61">
        <v>0.25875513680037099</v>
      </c>
      <c r="AW61">
        <v>17.940072949623701</v>
      </c>
    </row>
    <row r="62" spans="1:49">
      <c r="A62">
        <v>60</v>
      </c>
      <c r="B62" t="s">
        <v>393</v>
      </c>
      <c r="C62">
        <v>64102</v>
      </c>
      <c r="D62" t="s">
        <v>347</v>
      </c>
      <c r="E62">
        <v>753.79899999999998</v>
      </c>
      <c r="F62">
        <v>177015</v>
      </c>
      <c r="G62">
        <v>2.2980588235294102</v>
      </c>
      <c r="H62">
        <v>0.48</v>
      </c>
      <c r="I62">
        <v>7.94</v>
      </c>
      <c r="J62">
        <v>578.16999999999996</v>
      </c>
      <c r="K62">
        <v>1</v>
      </c>
      <c r="L62">
        <v>8</v>
      </c>
      <c r="M62">
        <v>3.1764705882352899</v>
      </c>
      <c r="N62">
        <v>3.669</v>
      </c>
      <c r="O62">
        <v>5</v>
      </c>
      <c r="P62">
        <v>39.281999999999996</v>
      </c>
      <c r="Q62">
        <v>2</v>
      </c>
      <c r="R62">
        <v>6</v>
      </c>
      <c r="S62">
        <v>4.625</v>
      </c>
      <c r="T62">
        <v>3.5</v>
      </c>
      <c r="U62">
        <v>4.3687500000000004</v>
      </c>
      <c r="V62">
        <v>7.4</v>
      </c>
      <c r="W62">
        <v>0</v>
      </c>
      <c r="X62">
        <v>3</v>
      </c>
      <c r="Y62">
        <v>0</v>
      </c>
      <c r="Z62">
        <v>0</v>
      </c>
      <c r="AA62">
        <v>40</v>
      </c>
      <c r="AB62">
        <v>1</v>
      </c>
      <c r="AC62">
        <v>144560.31700000001</v>
      </c>
      <c r="AD62">
        <v>18959.299999999901</v>
      </c>
      <c r="AE62">
        <v>119388.185</v>
      </c>
      <c r="AF62">
        <v>6058</v>
      </c>
      <c r="AG62">
        <v>65741</v>
      </c>
      <c r="AH62">
        <v>154.30000000000001</v>
      </c>
      <c r="AI62">
        <v>123139</v>
      </c>
      <c r="AJ62">
        <v>58428</v>
      </c>
      <c r="AK62">
        <v>368054.24</v>
      </c>
      <c r="AL62">
        <v>10332</v>
      </c>
      <c r="AM62">
        <v>502.39999999999901</v>
      </c>
      <c r="AN62">
        <v>0</v>
      </c>
      <c r="AO62">
        <v>1782</v>
      </c>
      <c r="AP62">
        <v>317</v>
      </c>
      <c r="AQ62">
        <v>0</v>
      </c>
      <c r="AR62">
        <v>210</v>
      </c>
      <c r="AS62">
        <v>0</v>
      </c>
      <c r="AT62">
        <v>206.72283210994701</v>
      </c>
      <c r="AU62">
        <v>810.05776605281699</v>
      </c>
      <c r="AV62">
        <v>1.12009835691086</v>
      </c>
      <c r="AW62">
        <v>35.607026617773599</v>
      </c>
    </row>
    <row r="63" spans="1:49">
      <c r="A63">
        <v>61</v>
      </c>
      <c r="B63" t="s">
        <v>394</v>
      </c>
      <c r="C63">
        <v>64201</v>
      </c>
      <c r="D63" t="s">
        <v>347</v>
      </c>
      <c r="E63">
        <v>660.71600000000001</v>
      </c>
      <c r="F63">
        <v>127058</v>
      </c>
      <c r="G63">
        <v>2.2333333333333298</v>
      </c>
      <c r="H63">
        <v>0.64</v>
      </c>
      <c r="I63">
        <v>7.92</v>
      </c>
      <c r="J63">
        <v>345.81400000000002</v>
      </c>
      <c r="K63">
        <v>2</v>
      </c>
      <c r="L63">
        <v>10</v>
      </c>
      <c r="M63">
        <v>3.2222222222222201</v>
      </c>
      <c r="N63">
        <v>3.5</v>
      </c>
      <c r="O63">
        <v>5</v>
      </c>
      <c r="P63">
        <v>7.9329999999999998</v>
      </c>
      <c r="Q63">
        <v>4</v>
      </c>
      <c r="R63">
        <v>6</v>
      </c>
      <c r="S63">
        <v>5</v>
      </c>
      <c r="T63">
        <v>3.5</v>
      </c>
      <c r="U63">
        <v>5</v>
      </c>
      <c r="V63">
        <v>0</v>
      </c>
      <c r="W63">
        <v>0</v>
      </c>
      <c r="X63">
        <v>3</v>
      </c>
      <c r="Y63">
        <v>0</v>
      </c>
      <c r="Z63">
        <v>0</v>
      </c>
      <c r="AA63">
        <v>0</v>
      </c>
      <c r="AB63">
        <v>0</v>
      </c>
      <c r="AC63">
        <v>139327.28</v>
      </c>
      <c r="AD63">
        <v>41495.910000000003</v>
      </c>
      <c r="AE63">
        <v>163119.00099999999</v>
      </c>
      <c r="AF63">
        <v>4304.5</v>
      </c>
      <c r="AG63">
        <v>43700.5</v>
      </c>
      <c r="AH63">
        <v>5</v>
      </c>
      <c r="AI63">
        <v>105389</v>
      </c>
      <c r="AJ63">
        <v>40110</v>
      </c>
      <c r="AK63">
        <v>38811.229999999901</v>
      </c>
      <c r="AL63">
        <v>10009.06</v>
      </c>
      <c r="AM63">
        <v>0</v>
      </c>
      <c r="AN63">
        <v>0</v>
      </c>
      <c r="AO63">
        <v>2839</v>
      </c>
      <c r="AP63">
        <v>419</v>
      </c>
      <c r="AQ63">
        <v>5673</v>
      </c>
      <c r="AR63">
        <v>146</v>
      </c>
      <c r="AS63">
        <v>2</v>
      </c>
      <c r="AT63">
        <v>170.17168605389099</v>
      </c>
      <c r="AU63">
        <v>80.740678392189196</v>
      </c>
      <c r="AV63">
        <v>-4.4577015687329899E-2</v>
      </c>
      <c r="AW63">
        <v>7.3177689987011298</v>
      </c>
    </row>
    <row r="64" spans="1:49">
      <c r="A64">
        <v>62</v>
      </c>
      <c r="B64" t="s">
        <v>395</v>
      </c>
      <c r="C64">
        <v>31103</v>
      </c>
      <c r="D64" t="s">
        <v>396</v>
      </c>
      <c r="E64">
        <v>288.53800000000001</v>
      </c>
      <c r="F64">
        <v>279293</v>
      </c>
      <c r="G64">
        <v>2.6982222222222201</v>
      </c>
      <c r="H64">
        <v>0.59</v>
      </c>
      <c r="I64">
        <v>7.88</v>
      </c>
      <c r="J64">
        <v>249.25800000000001</v>
      </c>
      <c r="K64">
        <v>1</v>
      </c>
      <c r="L64">
        <v>8</v>
      </c>
      <c r="M64">
        <v>4.4444444444444402</v>
      </c>
      <c r="N64">
        <v>3.714</v>
      </c>
      <c r="O64">
        <v>5</v>
      </c>
      <c r="P64">
        <v>27.280999999999999</v>
      </c>
      <c r="Q64">
        <v>2</v>
      </c>
      <c r="R64">
        <v>10</v>
      </c>
      <c r="S64">
        <v>5.1428571428571397</v>
      </c>
      <c r="T64">
        <v>3.4928571428571402</v>
      </c>
      <c r="U64">
        <v>5.0372000000000003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31795.915000000001</v>
      </c>
      <c r="AD64">
        <v>14974</v>
      </c>
      <c r="AE64">
        <v>46223.1539999999</v>
      </c>
      <c r="AF64">
        <v>358</v>
      </c>
      <c r="AG64">
        <v>11259</v>
      </c>
      <c r="AH64">
        <v>72</v>
      </c>
      <c r="AI64">
        <v>32681</v>
      </c>
      <c r="AJ64">
        <v>19327</v>
      </c>
      <c r="AK64">
        <v>173122.005</v>
      </c>
      <c r="AL64">
        <v>1416</v>
      </c>
      <c r="AM64">
        <v>45.7</v>
      </c>
      <c r="AN64">
        <v>0</v>
      </c>
      <c r="AO64">
        <v>897</v>
      </c>
      <c r="AP64">
        <v>37</v>
      </c>
      <c r="AQ64">
        <v>0</v>
      </c>
      <c r="AR64">
        <v>10</v>
      </c>
      <c r="AS64">
        <v>0</v>
      </c>
      <c r="AT64">
        <v>18.305698505473998</v>
      </c>
      <c r="AU64">
        <v>60.633393065945903</v>
      </c>
      <c r="AV64">
        <v>-3.5941714635765197E-2</v>
      </c>
      <c r="AW64">
        <v>14.665242673576</v>
      </c>
    </row>
    <row r="65" spans="1:49">
      <c r="A65">
        <v>63</v>
      </c>
      <c r="B65" t="s">
        <v>397</v>
      </c>
      <c r="C65">
        <v>31802</v>
      </c>
      <c r="D65" t="s">
        <v>396</v>
      </c>
      <c r="E65">
        <v>521.31200000000001</v>
      </c>
      <c r="F65">
        <v>153919</v>
      </c>
      <c r="G65">
        <v>2.4987777777777702</v>
      </c>
      <c r="H65">
        <v>0.52</v>
      </c>
      <c r="I65">
        <v>7.96</v>
      </c>
      <c r="J65">
        <v>356.03199999999998</v>
      </c>
      <c r="K65">
        <v>2</v>
      </c>
      <c r="L65">
        <v>6</v>
      </c>
      <c r="M65">
        <v>3.1111111111111098</v>
      </c>
      <c r="N65">
        <v>3.5</v>
      </c>
      <c r="O65">
        <v>5</v>
      </c>
      <c r="P65">
        <v>9.4779999999999998</v>
      </c>
      <c r="Q65">
        <v>4</v>
      </c>
      <c r="R65">
        <v>4</v>
      </c>
      <c r="S65">
        <v>4</v>
      </c>
      <c r="T65">
        <v>3.4443333333333301</v>
      </c>
      <c r="U65">
        <v>5.2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105579.079999999</v>
      </c>
      <c r="AD65">
        <v>686.9</v>
      </c>
      <c r="AE65">
        <v>52829.42</v>
      </c>
      <c r="AF65">
        <v>1019</v>
      </c>
      <c r="AG65">
        <v>16198</v>
      </c>
      <c r="AH65">
        <v>29.2</v>
      </c>
      <c r="AI65">
        <v>71561</v>
      </c>
      <c r="AJ65">
        <v>25170</v>
      </c>
      <c r="AK65">
        <v>54965.47</v>
      </c>
      <c r="AL65">
        <v>7985.65</v>
      </c>
      <c r="AM65">
        <v>357.55</v>
      </c>
      <c r="AN65">
        <v>0</v>
      </c>
      <c r="AO65">
        <v>1215</v>
      </c>
      <c r="AP65">
        <v>147</v>
      </c>
      <c r="AQ65">
        <v>5522</v>
      </c>
      <c r="AR65">
        <v>73</v>
      </c>
      <c r="AS65">
        <v>0</v>
      </c>
      <c r="AT65">
        <v>23.183759047721299</v>
      </c>
      <c r="AU65">
        <v>179.18492589419401</v>
      </c>
      <c r="AV65">
        <v>-0.46172039832114398</v>
      </c>
      <c r="AW65">
        <v>36.432520883514499</v>
      </c>
    </row>
    <row r="66" spans="1:49">
      <c r="A66">
        <v>64</v>
      </c>
      <c r="B66" t="s">
        <v>398</v>
      </c>
      <c r="C66">
        <v>41704</v>
      </c>
      <c r="D66" t="s">
        <v>319</v>
      </c>
      <c r="E66">
        <v>744.57749999999999</v>
      </c>
      <c r="F66">
        <v>2005957</v>
      </c>
      <c r="G66">
        <v>3.3627272727272701</v>
      </c>
      <c r="H66">
        <v>0.57999999999999996</v>
      </c>
      <c r="I66">
        <v>7.87</v>
      </c>
      <c r="J66">
        <v>416.78500000000003</v>
      </c>
      <c r="K66">
        <v>1</v>
      </c>
      <c r="L66">
        <v>13</v>
      </c>
      <c r="M66">
        <v>6</v>
      </c>
      <c r="N66">
        <v>3.5</v>
      </c>
      <c r="O66">
        <v>8.1229999999999993</v>
      </c>
      <c r="P66">
        <v>128.39699999999999</v>
      </c>
      <c r="Q66">
        <v>1</v>
      </c>
      <c r="R66">
        <v>11</v>
      </c>
      <c r="S66">
        <v>6.2857142857142803</v>
      </c>
      <c r="T66">
        <v>3.38214285714285</v>
      </c>
      <c r="U66">
        <v>6.0119999999999996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539832</v>
      </c>
      <c r="AD66">
        <v>58734</v>
      </c>
      <c r="AE66">
        <v>178634.348</v>
      </c>
      <c r="AF66">
        <v>1198.9000000000001</v>
      </c>
      <c r="AG66">
        <v>44638.9</v>
      </c>
      <c r="AH66">
        <v>46</v>
      </c>
      <c r="AI66">
        <v>160173</v>
      </c>
      <c r="AJ66">
        <v>113823</v>
      </c>
      <c r="AK66">
        <v>354427.15</v>
      </c>
      <c r="AL66">
        <v>8058.01</v>
      </c>
      <c r="AM66">
        <v>148.19999999999999</v>
      </c>
      <c r="AN66">
        <v>0.4</v>
      </c>
      <c r="AO66">
        <v>732</v>
      </c>
      <c r="AP66">
        <v>178</v>
      </c>
      <c r="AQ66">
        <v>31725</v>
      </c>
      <c r="AR66">
        <v>174</v>
      </c>
      <c r="AS66">
        <v>0</v>
      </c>
      <c r="AT66">
        <v>25.995936351883302</v>
      </c>
      <c r="AU66">
        <v>597.24280623878303</v>
      </c>
      <c r="AV66">
        <v>0.28740084304437702</v>
      </c>
      <c r="AW66">
        <v>33.3252138545012</v>
      </c>
    </row>
    <row r="67" spans="1:49">
      <c r="A67">
        <v>65</v>
      </c>
      <c r="B67" t="s">
        <v>399</v>
      </c>
      <c r="C67">
        <v>33704</v>
      </c>
      <c r="D67" t="s">
        <v>338</v>
      </c>
      <c r="E67">
        <v>520.80200000000002</v>
      </c>
      <c r="F67">
        <v>422327</v>
      </c>
      <c r="G67">
        <v>2.0636666666666601</v>
      </c>
      <c r="H67">
        <v>0.48</v>
      </c>
      <c r="I67">
        <v>7.82</v>
      </c>
      <c r="J67">
        <v>216.4</v>
      </c>
      <c r="K67">
        <v>1</v>
      </c>
      <c r="L67">
        <v>6</v>
      </c>
      <c r="M67">
        <v>3.6666666666666599</v>
      </c>
      <c r="N67">
        <v>3.5</v>
      </c>
      <c r="O67">
        <v>5</v>
      </c>
      <c r="P67">
        <v>3.089</v>
      </c>
      <c r="Q67">
        <v>2</v>
      </c>
      <c r="R67">
        <v>6</v>
      </c>
      <c r="S67">
        <v>4</v>
      </c>
      <c r="T67">
        <v>3.3333333333333299</v>
      </c>
      <c r="U67">
        <v>3.5</v>
      </c>
      <c r="V67">
        <v>0</v>
      </c>
      <c r="W67">
        <v>0</v>
      </c>
      <c r="X67">
        <v>0</v>
      </c>
      <c r="Y67">
        <v>0</v>
      </c>
      <c r="Z67">
        <v>2</v>
      </c>
      <c r="AA67">
        <v>120</v>
      </c>
      <c r="AB67">
        <v>1</v>
      </c>
      <c r="AC67">
        <v>25598.18</v>
      </c>
      <c r="AD67">
        <v>3061</v>
      </c>
      <c r="AE67">
        <v>82989.679999999906</v>
      </c>
      <c r="AF67">
        <v>410</v>
      </c>
      <c r="AG67">
        <v>3889</v>
      </c>
      <c r="AH67">
        <v>20.2</v>
      </c>
      <c r="AI67">
        <v>1202</v>
      </c>
      <c r="AJ67">
        <v>4296</v>
      </c>
      <c r="AK67">
        <v>4570.68</v>
      </c>
      <c r="AL67">
        <v>4720.6000000000004</v>
      </c>
      <c r="AM67">
        <v>212.85999999999899</v>
      </c>
      <c r="AN67">
        <v>0</v>
      </c>
      <c r="AO67">
        <v>923</v>
      </c>
      <c r="AP67">
        <v>0</v>
      </c>
      <c r="AQ67">
        <v>14080</v>
      </c>
      <c r="AR67">
        <v>42</v>
      </c>
      <c r="AS67">
        <v>0</v>
      </c>
      <c r="AT67">
        <v>18.751490686084299</v>
      </c>
      <c r="AU67">
        <v>405.350329344648</v>
      </c>
      <c r="AV67">
        <v>-7.0955345478399795E-2</v>
      </c>
      <c r="AW67">
        <v>9.3241964675233309</v>
      </c>
    </row>
    <row r="68" spans="1:49">
      <c r="A68">
        <v>66</v>
      </c>
      <c r="B68" t="s">
        <v>400</v>
      </c>
      <c r="C68">
        <v>41503</v>
      </c>
      <c r="D68" t="s">
        <v>319</v>
      </c>
      <c r="E68">
        <v>649.76900000000001</v>
      </c>
      <c r="F68">
        <v>1031867</v>
      </c>
      <c r="G68">
        <v>2.78944444444444</v>
      </c>
      <c r="H68">
        <v>0.65</v>
      </c>
      <c r="I68">
        <v>7.97</v>
      </c>
      <c r="J68">
        <v>433.59100000000001</v>
      </c>
      <c r="K68">
        <v>1</v>
      </c>
      <c r="L68">
        <v>8</v>
      </c>
      <c r="M68">
        <v>4.625</v>
      </c>
      <c r="N68">
        <v>3.5630000000000002</v>
      </c>
      <c r="O68">
        <v>6</v>
      </c>
      <c r="P68">
        <v>106.97399999999899</v>
      </c>
      <c r="Q68">
        <v>2</v>
      </c>
      <c r="R68">
        <v>8</v>
      </c>
      <c r="S68">
        <v>4.4285714285714199</v>
      </c>
      <c r="T68">
        <v>3.5</v>
      </c>
      <c r="U68">
        <v>6.0561999999999996</v>
      </c>
      <c r="V68">
        <v>0</v>
      </c>
      <c r="W68">
        <v>0</v>
      </c>
      <c r="X68">
        <v>0</v>
      </c>
      <c r="Y68">
        <v>0</v>
      </c>
      <c r="Z68">
        <v>0</v>
      </c>
      <c r="AA68">
        <v>156</v>
      </c>
      <c r="AB68">
        <v>1</v>
      </c>
      <c r="AC68">
        <v>1048292.96</v>
      </c>
      <c r="AD68">
        <v>163800.9</v>
      </c>
      <c r="AE68">
        <v>120014.41999999899</v>
      </c>
      <c r="AF68">
        <v>2516</v>
      </c>
      <c r="AG68">
        <v>160819.04800000001</v>
      </c>
      <c r="AH68">
        <v>172.1</v>
      </c>
      <c r="AI68">
        <v>187397.47500000001</v>
      </c>
      <c r="AJ68">
        <v>60057</v>
      </c>
      <c r="AK68">
        <v>180880.86</v>
      </c>
      <c r="AL68">
        <v>6209.3530000000001</v>
      </c>
      <c r="AM68">
        <v>204.89999999999901</v>
      </c>
      <c r="AN68">
        <v>0.3</v>
      </c>
      <c r="AO68">
        <v>1166</v>
      </c>
      <c r="AP68">
        <v>941</v>
      </c>
      <c r="AQ68">
        <v>21925</v>
      </c>
      <c r="AR68">
        <v>223</v>
      </c>
      <c r="AS68">
        <v>0</v>
      </c>
      <c r="AT68">
        <v>3.8779816796100799</v>
      </c>
      <c r="AU68">
        <v>1.1596769161332401</v>
      </c>
      <c r="AV68">
        <v>2.0321213241259801E-2</v>
      </c>
      <c r="AW68">
        <v>6.9702636024193998</v>
      </c>
    </row>
    <row r="69" spans="1:49">
      <c r="A69">
        <v>67</v>
      </c>
      <c r="B69" t="s">
        <v>401</v>
      </c>
      <c r="C69">
        <v>43201</v>
      </c>
      <c r="D69" t="s">
        <v>356</v>
      </c>
      <c r="E69">
        <v>953.30899999999997</v>
      </c>
      <c r="F69">
        <v>1122347</v>
      </c>
      <c r="G69">
        <v>3.1458421052631498</v>
      </c>
      <c r="H69">
        <v>0.67</v>
      </c>
      <c r="I69">
        <v>7.97</v>
      </c>
      <c r="J69">
        <v>220.51300000000001</v>
      </c>
      <c r="K69">
        <v>2</v>
      </c>
      <c r="L69">
        <v>6</v>
      </c>
      <c r="M69">
        <v>3.8181818181818099</v>
      </c>
      <c r="N69">
        <v>3.5</v>
      </c>
      <c r="O69">
        <v>5</v>
      </c>
      <c r="P69">
        <v>482.34899999999999</v>
      </c>
      <c r="Q69">
        <v>1</v>
      </c>
      <c r="R69">
        <v>8</v>
      </c>
      <c r="S69">
        <v>4.5833333333333304</v>
      </c>
      <c r="T69">
        <v>3.36666666666666</v>
      </c>
      <c r="U69">
        <v>4.4509999999999996</v>
      </c>
      <c r="V69">
        <v>11732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130493.45</v>
      </c>
      <c r="AD69">
        <v>36208.6</v>
      </c>
      <c r="AE69">
        <v>87016.449999999895</v>
      </c>
      <c r="AF69">
        <v>455.8</v>
      </c>
      <c r="AG69">
        <v>21210</v>
      </c>
      <c r="AH69">
        <v>22.1</v>
      </c>
      <c r="AI69">
        <v>493.51499999999999</v>
      </c>
      <c r="AJ69">
        <v>26375</v>
      </c>
      <c r="AK69">
        <v>116864.25</v>
      </c>
      <c r="AL69">
        <v>1138</v>
      </c>
      <c r="AM69">
        <v>1.2</v>
      </c>
      <c r="AN69">
        <v>0</v>
      </c>
      <c r="AO69">
        <v>0</v>
      </c>
      <c r="AP69">
        <v>19</v>
      </c>
      <c r="AQ69">
        <v>8773</v>
      </c>
      <c r="AR69">
        <v>102</v>
      </c>
      <c r="AS69">
        <v>0</v>
      </c>
      <c r="AT69">
        <v>38.144175180993997</v>
      </c>
      <c r="AU69">
        <v>107.396865438728</v>
      </c>
      <c r="AV69">
        <v>8.8079800978219602E-2</v>
      </c>
      <c r="AW69">
        <v>12.307280832608599</v>
      </c>
    </row>
    <row r="70" spans="1:49">
      <c r="A70">
        <v>68</v>
      </c>
      <c r="B70" t="s">
        <v>402</v>
      </c>
      <c r="C70">
        <v>61905</v>
      </c>
      <c r="D70" t="s">
        <v>349</v>
      </c>
      <c r="E70">
        <v>863.77499999999998</v>
      </c>
      <c r="F70">
        <v>257283</v>
      </c>
      <c r="G70">
        <v>2.2766666666666602</v>
      </c>
      <c r="H70">
        <v>0.48</v>
      </c>
      <c r="I70">
        <v>7.92</v>
      </c>
      <c r="J70">
        <v>418.49299999999999</v>
      </c>
      <c r="K70">
        <v>2</v>
      </c>
      <c r="L70">
        <v>8</v>
      </c>
      <c r="M70">
        <v>3.4444444444444402</v>
      </c>
      <c r="N70">
        <v>3.5</v>
      </c>
      <c r="O70">
        <v>5</v>
      </c>
      <c r="P70">
        <v>1.498</v>
      </c>
      <c r="Q70">
        <v>4</v>
      </c>
      <c r="R70">
        <v>4</v>
      </c>
      <c r="S70">
        <v>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49508.05</v>
      </c>
      <c r="AD70">
        <v>14279</v>
      </c>
      <c r="AE70">
        <v>85722</v>
      </c>
      <c r="AF70">
        <v>3980</v>
      </c>
      <c r="AG70">
        <v>35698</v>
      </c>
      <c r="AH70">
        <v>19.2</v>
      </c>
      <c r="AI70">
        <v>41793</v>
      </c>
      <c r="AJ70">
        <v>12544</v>
      </c>
      <c r="AK70">
        <v>39679.425000000003</v>
      </c>
      <c r="AL70">
        <v>11394.1</v>
      </c>
      <c r="AM70">
        <v>112.399999999999</v>
      </c>
      <c r="AN70">
        <v>0</v>
      </c>
      <c r="AO70">
        <v>889</v>
      </c>
      <c r="AP70">
        <v>110</v>
      </c>
      <c r="AQ70">
        <v>3089</v>
      </c>
      <c r="AR70">
        <v>129</v>
      </c>
      <c r="AS70">
        <v>69</v>
      </c>
      <c r="AT70">
        <v>10.0348720522208</v>
      </c>
      <c r="AU70">
        <v>233.87900495082201</v>
      </c>
      <c r="AV70">
        <v>7.2878695441762495E-2</v>
      </c>
      <c r="AW70">
        <v>9.9982838015604703</v>
      </c>
    </row>
    <row r="71" spans="1:49">
      <c r="A71">
        <v>69</v>
      </c>
      <c r="B71" t="s">
        <v>403</v>
      </c>
      <c r="C71">
        <v>43301</v>
      </c>
      <c r="D71" t="s">
        <v>356</v>
      </c>
      <c r="E71">
        <v>462.87299999999999</v>
      </c>
      <c r="F71">
        <v>173279</v>
      </c>
      <c r="G71">
        <v>2.35</v>
      </c>
      <c r="H71">
        <v>0.63</v>
      </c>
      <c r="I71">
        <v>7.83</v>
      </c>
      <c r="J71">
        <v>149.18100000000001</v>
      </c>
      <c r="K71">
        <v>2</v>
      </c>
      <c r="L71">
        <v>8</v>
      </c>
      <c r="M71">
        <v>5.2</v>
      </c>
      <c r="N71">
        <v>3.5</v>
      </c>
      <c r="O71">
        <v>5</v>
      </c>
      <c r="P71">
        <v>34.712000000000003</v>
      </c>
      <c r="Q71">
        <v>2</v>
      </c>
      <c r="R71">
        <v>8</v>
      </c>
      <c r="S71">
        <v>3.5</v>
      </c>
      <c r="T71">
        <v>3.5</v>
      </c>
      <c r="U71">
        <v>4.5</v>
      </c>
      <c r="V71">
        <v>4616</v>
      </c>
      <c r="W71">
        <v>0</v>
      </c>
      <c r="X71">
        <v>3</v>
      </c>
      <c r="Y71">
        <v>0</v>
      </c>
      <c r="Z71">
        <v>0</v>
      </c>
      <c r="AA71">
        <v>658.4</v>
      </c>
      <c r="AB71">
        <v>6</v>
      </c>
      <c r="AC71">
        <v>42133.25</v>
      </c>
      <c r="AD71">
        <v>12956.6</v>
      </c>
      <c r="AE71">
        <v>53977.120000000003</v>
      </c>
      <c r="AF71">
        <v>1335.6</v>
      </c>
      <c r="AG71">
        <v>9017</v>
      </c>
      <c r="AH71">
        <v>93</v>
      </c>
      <c r="AI71">
        <v>49177</v>
      </c>
      <c r="AJ71">
        <v>5259</v>
      </c>
      <c r="AK71">
        <v>43068.6</v>
      </c>
      <c r="AL71">
        <v>8283.1</v>
      </c>
      <c r="AM71">
        <v>318.57999999999902</v>
      </c>
      <c r="AN71">
        <v>0</v>
      </c>
      <c r="AO71">
        <v>1033</v>
      </c>
      <c r="AP71">
        <v>136</v>
      </c>
      <c r="AQ71">
        <v>1824</v>
      </c>
      <c r="AR71">
        <v>177</v>
      </c>
      <c r="AS71">
        <v>1</v>
      </c>
      <c r="AT71">
        <v>13.2592352858897</v>
      </c>
      <c r="AU71">
        <v>1.70832513444736</v>
      </c>
      <c r="AV71">
        <v>-1.6341694152023498E-2</v>
      </c>
      <c r="AW71">
        <v>6.5916008065031804</v>
      </c>
    </row>
    <row r="72" spans="1:49">
      <c r="A72">
        <v>70</v>
      </c>
      <c r="B72" t="s">
        <v>404</v>
      </c>
      <c r="C72">
        <v>44104</v>
      </c>
      <c r="D72" t="s">
        <v>321</v>
      </c>
      <c r="E72">
        <v>915.81299999999999</v>
      </c>
      <c r="F72">
        <v>388029</v>
      </c>
      <c r="G72">
        <v>3.0047999999999999</v>
      </c>
      <c r="H72">
        <v>0.68</v>
      </c>
      <c r="I72">
        <v>7.95</v>
      </c>
      <c r="J72">
        <v>115.155999999999</v>
      </c>
      <c r="K72">
        <v>1</v>
      </c>
      <c r="L72">
        <v>8</v>
      </c>
      <c r="M72">
        <v>2.7777777777777701</v>
      </c>
      <c r="N72">
        <v>3.5</v>
      </c>
      <c r="O72">
        <v>5</v>
      </c>
      <c r="P72">
        <v>407.46800000000002</v>
      </c>
      <c r="Q72">
        <v>1</v>
      </c>
      <c r="R72">
        <v>8</v>
      </c>
      <c r="S72">
        <v>4.1818181818181799</v>
      </c>
      <c r="T72">
        <v>3.5</v>
      </c>
      <c r="U72">
        <v>5.3868999999999998</v>
      </c>
      <c r="V72">
        <v>0</v>
      </c>
      <c r="W72">
        <v>0</v>
      </c>
      <c r="X72">
        <v>0</v>
      </c>
      <c r="Y72">
        <v>0</v>
      </c>
      <c r="Z72">
        <v>2</v>
      </c>
      <c r="AA72">
        <v>45</v>
      </c>
      <c r="AB72">
        <v>1</v>
      </c>
      <c r="AC72">
        <v>277765.67</v>
      </c>
      <c r="AD72">
        <v>90122.5</v>
      </c>
      <c r="AE72">
        <v>167543.82</v>
      </c>
      <c r="AF72">
        <v>6306.2</v>
      </c>
      <c r="AG72">
        <v>86759</v>
      </c>
      <c r="AH72">
        <v>1096.5</v>
      </c>
      <c r="AI72">
        <v>135019</v>
      </c>
      <c r="AJ72">
        <v>19351</v>
      </c>
      <c r="AK72">
        <v>23948.53</v>
      </c>
      <c r="AL72">
        <v>16476.8</v>
      </c>
      <c r="AM72">
        <v>432.69999999999902</v>
      </c>
      <c r="AN72">
        <v>0.6</v>
      </c>
      <c r="AO72">
        <v>2976</v>
      </c>
      <c r="AP72">
        <v>351</v>
      </c>
      <c r="AQ72">
        <v>61910</v>
      </c>
      <c r="AR72">
        <v>236</v>
      </c>
      <c r="AS72">
        <v>0</v>
      </c>
      <c r="AT72">
        <v>12.891936978593</v>
      </c>
      <c r="AU72">
        <v>87.0924704835179</v>
      </c>
      <c r="AV72">
        <v>-1.6157599896567999E-2</v>
      </c>
      <c r="AW72">
        <v>5.0652272206367197</v>
      </c>
    </row>
    <row r="73" spans="1:49">
      <c r="A73">
        <v>71</v>
      </c>
      <c r="B73" t="s">
        <v>405</v>
      </c>
      <c r="C73">
        <v>44503</v>
      </c>
      <c r="D73" t="s">
        <v>321</v>
      </c>
      <c r="E73">
        <v>1053.4769999999901</v>
      </c>
      <c r="F73">
        <v>208827</v>
      </c>
      <c r="G73">
        <v>2.8629411764705801</v>
      </c>
      <c r="H73">
        <v>0.6</v>
      </c>
      <c r="I73">
        <v>7.92</v>
      </c>
      <c r="J73">
        <v>316.39400000000001</v>
      </c>
      <c r="K73">
        <v>2</v>
      </c>
      <c r="L73">
        <v>8</v>
      </c>
      <c r="M73">
        <v>2.8333333333333299</v>
      </c>
      <c r="N73">
        <v>3.5</v>
      </c>
      <c r="O73">
        <v>5.7889999999999997</v>
      </c>
      <c r="P73">
        <v>218.39699999999999</v>
      </c>
      <c r="Q73">
        <v>2</v>
      </c>
      <c r="R73">
        <v>8</v>
      </c>
      <c r="S73">
        <v>5</v>
      </c>
      <c r="T73">
        <v>3.4911249999999998</v>
      </c>
      <c r="U73">
        <v>6.1448749999999999</v>
      </c>
      <c r="V73">
        <v>9534</v>
      </c>
      <c r="W73">
        <v>0</v>
      </c>
      <c r="X73">
        <v>6</v>
      </c>
      <c r="Y73">
        <v>0</v>
      </c>
      <c r="Z73">
        <v>0</v>
      </c>
      <c r="AA73">
        <v>0</v>
      </c>
      <c r="AB73">
        <v>0</v>
      </c>
      <c r="AC73">
        <v>274387.97999999899</v>
      </c>
      <c r="AD73">
        <v>44429.599999999999</v>
      </c>
      <c r="AE73">
        <v>245895.27999999901</v>
      </c>
      <c r="AF73">
        <v>3636</v>
      </c>
      <c r="AG73">
        <v>75803.525999999998</v>
      </c>
      <c r="AH73">
        <v>100.6</v>
      </c>
      <c r="AI73">
        <v>158426</v>
      </c>
      <c r="AJ73">
        <v>11261</v>
      </c>
      <c r="AK73">
        <v>8306.4874999999993</v>
      </c>
      <c r="AL73">
        <v>22271.4</v>
      </c>
      <c r="AM73">
        <v>752</v>
      </c>
      <c r="AN73">
        <v>0</v>
      </c>
      <c r="AO73">
        <v>3291</v>
      </c>
      <c r="AP73">
        <v>606</v>
      </c>
      <c r="AQ73">
        <v>35324</v>
      </c>
      <c r="AR73">
        <v>263</v>
      </c>
      <c r="AS73">
        <v>6</v>
      </c>
      <c r="AT73">
        <v>43.315949872071101</v>
      </c>
      <c r="AU73">
        <v>398.96386323149301</v>
      </c>
      <c r="AV73">
        <v>5.2667250567886001E-2</v>
      </c>
      <c r="AW73">
        <v>5.5761167550590498</v>
      </c>
    </row>
    <row r="74" spans="1:49">
      <c r="A74">
        <v>72</v>
      </c>
      <c r="B74" t="s">
        <v>406</v>
      </c>
      <c r="C74">
        <v>32501</v>
      </c>
      <c r="D74" t="s">
        <v>353</v>
      </c>
      <c r="E74">
        <v>820.25900000000001</v>
      </c>
      <c r="F74">
        <v>380008</v>
      </c>
      <c r="G74">
        <v>2.8879999999999999</v>
      </c>
      <c r="H74">
        <v>0.71</v>
      </c>
      <c r="I74">
        <v>8</v>
      </c>
      <c r="J74">
        <v>336.702</v>
      </c>
      <c r="K74">
        <v>4</v>
      </c>
      <c r="L74">
        <v>10</v>
      </c>
      <c r="M74">
        <v>4.75</v>
      </c>
      <c r="N74">
        <v>3.5</v>
      </c>
      <c r="O74">
        <v>5</v>
      </c>
      <c r="P74">
        <v>28.52</v>
      </c>
      <c r="Q74">
        <v>4</v>
      </c>
      <c r="R74">
        <v>8</v>
      </c>
      <c r="S74">
        <v>5.25</v>
      </c>
      <c r="T74">
        <v>3.9834000000000001</v>
      </c>
      <c r="U74">
        <v>5.0999999999999996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104749.25599999999</v>
      </c>
      <c r="AD74">
        <v>22826.199999999899</v>
      </c>
      <c r="AE74">
        <v>161539.41399999999</v>
      </c>
      <c r="AF74">
        <v>784</v>
      </c>
      <c r="AG74">
        <v>23521.7</v>
      </c>
      <c r="AH74">
        <v>41.6</v>
      </c>
      <c r="AI74">
        <v>67464.56</v>
      </c>
      <c r="AJ74">
        <v>15476</v>
      </c>
      <c r="AK74">
        <v>13398</v>
      </c>
      <c r="AL74">
        <v>13202.5</v>
      </c>
      <c r="AM74">
        <v>482.3</v>
      </c>
      <c r="AN74">
        <v>0</v>
      </c>
      <c r="AO74">
        <v>2000</v>
      </c>
      <c r="AP74">
        <v>323</v>
      </c>
      <c r="AQ74">
        <v>0</v>
      </c>
      <c r="AR74">
        <v>61</v>
      </c>
      <c r="AS74">
        <v>0</v>
      </c>
      <c r="AT74">
        <v>25.816612508503699</v>
      </c>
      <c r="AU74">
        <v>195.01158745729799</v>
      </c>
      <c r="AV74">
        <v>8.7856957675627508E-3</v>
      </c>
      <c r="AW74">
        <v>21.360563776116599</v>
      </c>
    </row>
    <row r="75" spans="1:49">
      <c r="A75">
        <v>73</v>
      </c>
      <c r="B75" t="s">
        <v>407</v>
      </c>
      <c r="C75">
        <v>32804</v>
      </c>
      <c r="D75" t="s">
        <v>353</v>
      </c>
      <c r="E75">
        <v>616.23199999999997</v>
      </c>
      <c r="F75">
        <v>178384</v>
      </c>
      <c r="G75">
        <v>2.1868571428571402</v>
      </c>
      <c r="H75">
        <v>0.6</v>
      </c>
      <c r="I75">
        <v>7.61</v>
      </c>
      <c r="J75">
        <v>322.260999999999</v>
      </c>
      <c r="K75">
        <v>2</v>
      </c>
      <c r="L75">
        <v>6</v>
      </c>
      <c r="M75">
        <v>3.5714285714285698</v>
      </c>
      <c r="N75">
        <v>3.532</v>
      </c>
      <c r="O75">
        <v>5</v>
      </c>
      <c r="P75">
        <v>0</v>
      </c>
      <c r="V75">
        <v>15320</v>
      </c>
      <c r="W75">
        <v>0</v>
      </c>
      <c r="X75">
        <v>3</v>
      </c>
      <c r="Y75">
        <v>0</v>
      </c>
      <c r="Z75">
        <v>0</v>
      </c>
      <c r="AA75">
        <v>0</v>
      </c>
      <c r="AB75">
        <v>0</v>
      </c>
      <c r="AC75">
        <v>188911.976</v>
      </c>
      <c r="AD75">
        <v>1665.3</v>
      </c>
      <c r="AE75">
        <v>309545.46600000001</v>
      </c>
      <c r="AF75">
        <v>1108</v>
      </c>
      <c r="AG75">
        <v>43359.5</v>
      </c>
      <c r="AH75">
        <v>2118.6999999999998</v>
      </c>
      <c r="AI75">
        <v>18438.661</v>
      </c>
      <c r="AJ75">
        <v>48466</v>
      </c>
      <c r="AK75">
        <v>32356.2</v>
      </c>
      <c r="AL75">
        <v>11431.85</v>
      </c>
      <c r="AM75">
        <v>833.39999999999895</v>
      </c>
      <c r="AN75">
        <v>0</v>
      </c>
      <c r="AO75">
        <v>1618</v>
      </c>
      <c r="AP75">
        <v>228</v>
      </c>
      <c r="AQ75">
        <v>15869</v>
      </c>
      <c r="AR75">
        <v>66</v>
      </c>
      <c r="AS75">
        <v>0</v>
      </c>
      <c r="AT75">
        <v>26.385044205271999</v>
      </c>
      <c r="AU75">
        <v>98.328850865322707</v>
      </c>
      <c r="AV75">
        <v>-1.28395801197955E-2</v>
      </c>
      <c r="AW75">
        <v>25.833823101972801</v>
      </c>
    </row>
    <row r="76" spans="1:49">
      <c r="A76">
        <v>74</v>
      </c>
      <c r="B76" t="s">
        <v>408</v>
      </c>
      <c r="C76">
        <v>32904</v>
      </c>
      <c r="D76" t="s">
        <v>353</v>
      </c>
      <c r="E76">
        <v>673.54</v>
      </c>
      <c r="F76">
        <v>214878</v>
      </c>
      <c r="G76">
        <v>2.2530000000000001</v>
      </c>
      <c r="H76">
        <v>0.6</v>
      </c>
      <c r="I76">
        <v>7.93</v>
      </c>
      <c r="J76">
        <v>304.089</v>
      </c>
      <c r="K76">
        <v>2</v>
      </c>
      <c r="L76">
        <v>6</v>
      </c>
      <c r="M76">
        <v>3.5</v>
      </c>
      <c r="N76">
        <v>3.5</v>
      </c>
      <c r="O76">
        <v>5</v>
      </c>
      <c r="P76">
        <v>4.6280000000000001</v>
      </c>
      <c r="Q76">
        <v>2</v>
      </c>
      <c r="R76">
        <v>6</v>
      </c>
      <c r="S76">
        <v>4</v>
      </c>
      <c r="V76">
        <v>0</v>
      </c>
      <c r="W76">
        <v>0</v>
      </c>
      <c r="X76">
        <v>0</v>
      </c>
      <c r="Y76">
        <v>0</v>
      </c>
      <c r="Z76">
        <v>4</v>
      </c>
      <c r="AA76">
        <v>23</v>
      </c>
      <c r="AB76">
        <v>1</v>
      </c>
      <c r="AC76">
        <v>80023.69</v>
      </c>
      <c r="AD76">
        <v>8284</v>
      </c>
      <c r="AE76">
        <v>71181.69</v>
      </c>
      <c r="AF76">
        <v>826.5</v>
      </c>
      <c r="AG76">
        <v>3854</v>
      </c>
      <c r="AH76">
        <v>9</v>
      </c>
      <c r="AI76">
        <v>84163</v>
      </c>
      <c r="AJ76">
        <v>67506</v>
      </c>
      <c r="AK76">
        <v>178428.55</v>
      </c>
      <c r="AL76">
        <v>15584.03</v>
      </c>
      <c r="AM76">
        <v>207.85</v>
      </c>
      <c r="AN76">
        <v>0</v>
      </c>
      <c r="AO76">
        <v>428</v>
      </c>
      <c r="AP76">
        <v>298</v>
      </c>
      <c r="AQ76">
        <v>5690</v>
      </c>
      <c r="AR76">
        <v>51</v>
      </c>
      <c r="AS76">
        <v>0</v>
      </c>
      <c r="AT76">
        <v>55.7504150568437</v>
      </c>
      <c r="AU76">
        <v>201.863478249835</v>
      </c>
      <c r="AV76">
        <v>1.7444916700530999E-2</v>
      </c>
      <c r="AW76">
        <v>31.187231601980599</v>
      </c>
    </row>
    <row r="77" spans="1:49">
      <c r="A77">
        <v>75</v>
      </c>
      <c r="B77" t="s">
        <v>409</v>
      </c>
      <c r="C77">
        <v>61508</v>
      </c>
      <c r="D77" t="s">
        <v>391</v>
      </c>
      <c r="E77">
        <v>1376.3530000000001</v>
      </c>
      <c r="F77">
        <v>235690</v>
      </c>
      <c r="G77">
        <v>2.4900434782608598</v>
      </c>
      <c r="H77">
        <v>0.56000000000000005</v>
      </c>
      <c r="I77">
        <v>7.96</v>
      </c>
      <c r="J77">
        <v>862.726</v>
      </c>
      <c r="K77">
        <v>2</v>
      </c>
      <c r="L77">
        <v>8</v>
      </c>
      <c r="M77">
        <v>3.8260869565217299</v>
      </c>
      <c r="N77">
        <v>3.5</v>
      </c>
      <c r="O77">
        <v>5</v>
      </c>
      <c r="P77">
        <v>21.504000000000001</v>
      </c>
      <c r="Q77">
        <v>2</v>
      </c>
      <c r="R77">
        <v>8</v>
      </c>
      <c r="S77">
        <v>4.7272727272727204</v>
      </c>
      <c r="T77">
        <v>3.5</v>
      </c>
      <c r="U77">
        <v>5</v>
      </c>
      <c r="V77">
        <v>4000</v>
      </c>
      <c r="W77">
        <v>0</v>
      </c>
      <c r="X77">
        <v>3</v>
      </c>
      <c r="Y77">
        <v>0</v>
      </c>
      <c r="Z77">
        <v>1</v>
      </c>
      <c r="AA77">
        <v>1110</v>
      </c>
      <c r="AB77">
        <v>19</v>
      </c>
      <c r="AC77">
        <v>212343.59899999999</v>
      </c>
      <c r="AD77">
        <v>299</v>
      </c>
      <c r="AE77">
        <v>214384.647</v>
      </c>
      <c r="AF77">
        <v>3132</v>
      </c>
      <c r="AG77">
        <v>21974</v>
      </c>
      <c r="AH77">
        <v>110</v>
      </c>
      <c r="AI77">
        <v>157702</v>
      </c>
      <c r="AJ77">
        <v>94489.95</v>
      </c>
      <c r="AK77">
        <v>166744.4</v>
      </c>
      <c r="AL77">
        <v>26420.6499999999</v>
      </c>
      <c r="AM77">
        <v>861.6</v>
      </c>
      <c r="AN77">
        <v>1</v>
      </c>
      <c r="AO77">
        <v>2297</v>
      </c>
      <c r="AP77">
        <v>341</v>
      </c>
      <c r="AQ77">
        <v>12535</v>
      </c>
      <c r="AR77">
        <v>149</v>
      </c>
      <c r="AS77">
        <v>6</v>
      </c>
      <c r="AT77">
        <v>140.332912521856</v>
      </c>
      <c r="AU77">
        <v>59.937132737868602</v>
      </c>
      <c r="AV77">
        <v>1.24440339136312E-2</v>
      </c>
      <c r="AW77">
        <v>8.1709411608101696</v>
      </c>
    </row>
    <row r="78" spans="1:49">
      <c r="A78">
        <v>76</v>
      </c>
      <c r="B78" t="s">
        <v>410</v>
      </c>
      <c r="C78">
        <v>51301</v>
      </c>
      <c r="D78" t="s">
        <v>325</v>
      </c>
      <c r="E78">
        <v>985.30799999999999</v>
      </c>
      <c r="F78">
        <v>210607</v>
      </c>
      <c r="G78">
        <v>2.2361818181818101</v>
      </c>
      <c r="H78">
        <v>0.6</v>
      </c>
      <c r="I78">
        <v>7.97</v>
      </c>
      <c r="J78">
        <v>439.81</v>
      </c>
      <c r="K78">
        <v>2</v>
      </c>
      <c r="L78">
        <v>8</v>
      </c>
      <c r="M78">
        <v>3.13636363636363</v>
      </c>
      <c r="N78">
        <v>5.5</v>
      </c>
      <c r="O78">
        <v>4.5</v>
      </c>
      <c r="P78">
        <v>40.082999999999998</v>
      </c>
      <c r="Q78">
        <v>2</v>
      </c>
      <c r="R78">
        <v>6</v>
      </c>
      <c r="S78">
        <v>3.93333333333333</v>
      </c>
      <c r="T78">
        <v>3.75</v>
      </c>
      <c r="U78">
        <v>3.3333333333333299</v>
      </c>
      <c r="V78">
        <v>43981.764999999999</v>
      </c>
      <c r="W78">
        <v>0</v>
      </c>
      <c r="X78">
        <v>0</v>
      </c>
      <c r="Y78">
        <v>0</v>
      </c>
      <c r="Z78">
        <v>0</v>
      </c>
      <c r="AA78">
        <v>20</v>
      </c>
      <c r="AB78">
        <v>1</v>
      </c>
      <c r="AC78">
        <v>135318.85</v>
      </c>
      <c r="AD78">
        <v>11196</v>
      </c>
      <c r="AE78">
        <v>138918.905</v>
      </c>
      <c r="AF78">
        <v>2789</v>
      </c>
      <c r="AG78">
        <v>11687.5</v>
      </c>
      <c r="AH78">
        <v>111.6</v>
      </c>
      <c r="AI78">
        <v>92308</v>
      </c>
      <c r="AJ78">
        <v>55261</v>
      </c>
      <c r="AK78">
        <v>332171.32999999903</v>
      </c>
      <c r="AL78">
        <v>6560.75</v>
      </c>
      <c r="AM78">
        <v>238.69999999999899</v>
      </c>
      <c r="AN78">
        <v>0</v>
      </c>
      <c r="AO78">
        <v>1186</v>
      </c>
      <c r="AP78">
        <v>145</v>
      </c>
      <c r="AQ78">
        <v>6525</v>
      </c>
      <c r="AR78">
        <v>123</v>
      </c>
      <c r="AS78">
        <v>17</v>
      </c>
      <c r="AT78">
        <v>64.285024118160806</v>
      </c>
      <c r="AU78">
        <v>157.7923891035</v>
      </c>
      <c r="AV78">
        <v>8.0523110413884602E-2</v>
      </c>
      <c r="AW78">
        <v>9.3810120650756499</v>
      </c>
    </row>
    <row r="79" spans="1:49">
      <c r="A79">
        <v>77</v>
      </c>
      <c r="B79" t="s">
        <v>411</v>
      </c>
      <c r="C79">
        <v>64601</v>
      </c>
      <c r="D79" t="s">
        <v>347</v>
      </c>
      <c r="E79">
        <v>662.57299999999998</v>
      </c>
      <c r="F79">
        <v>203120</v>
      </c>
      <c r="G79">
        <v>2.4670624999999999</v>
      </c>
      <c r="H79">
        <v>0.19</v>
      </c>
      <c r="I79">
        <v>7.97</v>
      </c>
      <c r="J79">
        <v>572.71900000000005</v>
      </c>
      <c r="K79">
        <v>2</v>
      </c>
      <c r="L79">
        <v>8</v>
      </c>
      <c r="M79">
        <v>3.625</v>
      </c>
      <c r="N79">
        <v>4.5289999999999999</v>
      </c>
      <c r="O79">
        <v>5.0780000000000003</v>
      </c>
      <c r="P79">
        <v>19.274999999999999</v>
      </c>
      <c r="Q79">
        <v>2</v>
      </c>
      <c r="R79">
        <v>8</v>
      </c>
      <c r="S79">
        <v>4.8888888888888804</v>
      </c>
      <c r="T79">
        <v>3.5</v>
      </c>
      <c r="U79">
        <v>5</v>
      </c>
      <c r="V79">
        <v>61829</v>
      </c>
      <c r="W79">
        <v>0</v>
      </c>
      <c r="X79">
        <v>6</v>
      </c>
      <c r="Y79">
        <v>0</v>
      </c>
      <c r="Z79">
        <v>0</v>
      </c>
      <c r="AA79">
        <v>0</v>
      </c>
      <c r="AB79">
        <v>0</v>
      </c>
      <c r="AC79">
        <v>96605.471250000002</v>
      </c>
      <c r="AD79">
        <v>17547.2</v>
      </c>
      <c r="AE79">
        <v>112923.00599999999</v>
      </c>
      <c r="AF79">
        <v>3378</v>
      </c>
      <c r="AG79">
        <v>13318</v>
      </c>
      <c r="AH79">
        <v>78.599999999999795</v>
      </c>
      <c r="AI79">
        <v>190960</v>
      </c>
      <c r="AJ79">
        <v>68535</v>
      </c>
      <c r="AK79">
        <v>126523.21054</v>
      </c>
      <c r="AL79">
        <v>10627.3</v>
      </c>
      <c r="AM79">
        <v>401.69999999999902</v>
      </c>
      <c r="AN79">
        <v>0</v>
      </c>
      <c r="AO79">
        <v>2192</v>
      </c>
      <c r="AP79">
        <v>551</v>
      </c>
      <c r="AQ79">
        <v>0</v>
      </c>
      <c r="AR79">
        <v>184</v>
      </c>
      <c r="AS79">
        <v>62</v>
      </c>
      <c r="AT79">
        <v>172.35405741450199</v>
      </c>
      <c r="AU79">
        <v>33.808679544620801</v>
      </c>
      <c r="AV79">
        <v>-6.4261710553588998E-4</v>
      </c>
      <c r="AW79">
        <v>13.0025960988135</v>
      </c>
    </row>
    <row r="80" spans="1:49">
      <c r="A80">
        <v>78</v>
      </c>
      <c r="B80" t="s">
        <v>412</v>
      </c>
      <c r="C80">
        <v>62902</v>
      </c>
      <c r="D80" t="s">
        <v>413</v>
      </c>
      <c r="E80">
        <v>580.61800000000005</v>
      </c>
      <c r="F80">
        <v>171880</v>
      </c>
      <c r="G80">
        <v>2.4503750000000002</v>
      </c>
      <c r="H80">
        <v>0.68</v>
      </c>
      <c r="I80">
        <v>7.97</v>
      </c>
      <c r="J80">
        <v>248.68100000000001</v>
      </c>
      <c r="K80">
        <v>1</v>
      </c>
      <c r="L80">
        <v>6</v>
      </c>
      <c r="M80">
        <v>3.25</v>
      </c>
      <c r="N80">
        <v>7</v>
      </c>
      <c r="O80">
        <v>5</v>
      </c>
      <c r="P80">
        <v>80.885000000000005</v>
      </c>
      <c r="Q80">
        <v>1</v>
      </c>
      <c r="R80">
        <v>6</v>
      </c>
      <c r="S80">
        <v>4.1666666666666599</v>
      </c>
      <c r="T80">
        <v>4.2</v>
      </c>
      <c r="U80">
        <v>3.15</v>
      </c>
      <c r="V80">
        <v>12025</v>
      </c>
      <c r="W80">
        <v>0</v>
      </c>
      <c r="X80">
        <v>3</v>
      </c>
      <c r="Y80">
        <v>0</v>
      </c>
      <c r="Z80">
        <v>0</v>
      </c>
      <c r="AA80">
        <v>0</v>
      </c>
      <c r="AB80">
        <v>0</v>
      </c>
      <c r="AC80">
        <v>119956.363</v>
      </c>
      <c r="AD80">
        <v>6297</v>
      </c>
      <c r="AE80">
        <v>75946.138000000006</v>
      </c>
      <c r="AF80">
        <v>9646</v>
      </c>
      <c r="AG80">
        <v>11368.59</v>
      </c>
      <c r="AH80">
        <v>299.599999999999</v>
      </c>
      <c r="AI80">
        <v>116596.371</v>
      </c>
      <c r="AJ80">
        <v>54928.3</v>
      </c>
      <c r="AK80">
        <v>252166.41699999999</v>
      </c>
      <c r="AL80">
        <v>12100</v>
      </c>
      <c r="AM80">
        <v>156.4</v>
      </c>
      <c r="AN80">
        <v>0</v>
      </c>
      <c r="AO80">
        <v>1016</v>
      </c>
      <c r="AP80">
        <v>178</v>
      </c>
      <c r="AQ80">
        <v>17058</v>
      </c>
      <c r="AR80">
        <v>143</v>
      </c>
      <c r="AS80">
        <v>0</v>
      </c>
      <c r="AT80">
        <v>219.83077400574999</v>
      </c>
      <c r="AU80">
        <v>203.197509322798</v>
      </c>
      <c r="AV80">
        <v>7.9749258735528197E-2</v>
      </c>
      <c r="AW80">
        <v>12.6686899926069</v>
      </c>
    </row>
    <row r="81" spans="1:49">
      <c r="A81">
        <v>79</v>
      </c>
      <c r="B81" t="s">
        <v>414</v>
      </c>
      <c r="C81">
        <v>41305</v>
      </c>
      <c r="D81" t="s">
        <v>319</v>
      </c>
      <c r="E81">
        <v>914.92100000000005</v>
      </c>
      <c r="F81">
        <v>1055656</v>
      </c>
      <c r="G81">
        <v>2.8519473684210501</v>
      </c>
      <c r="H81">
        <v>0.57999999999999996</v>
      </c>
      <c r="I81">
        <v>7.97</v>
      </c>
      <c r="J81">
        <v>338.719999999999</v>
      </c>
      <c r="K81">
        <v>2</v>
      </c>
      <c r="L81">
        <v>10</v>
      </c>
      <c r="M81">
        <v>4.2666666666666604</v>
      </c>
      <c r="N81">
        <v>3.5830000000000002</v>
      </c>
      <c r="O81">
        <v>5</v>
      </c>
      <c r="P81">
        <v>355.73</v>
      </c>
      <c r="Q81">
        <v>1</v>
      </c>
      <c r="R81">
        <v>10</v>
      </c>
      <c r="S81">
        <v>3.75</v>
      </c>
      <c r="T81">
        <v>3.87466666666666</v>
      </c>
      <c r="U81">
        <v>3.9500909090909002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13275</v>
      </c>
      <c r="AD81">
        <v>0</v>
      </c>
      <c r="AE81">
        <v>25771.1679999999</v>
      </c>
      <c r="AF81">
        <v>120</v>
      </c>
      <c r="AG81">
        <v>3661</v>
      </c>
      <c r="AH81">
        <v>7.4</v>
      </c>
      <c r="AI81">
        <v>23.4969999999999</v>
      </c>
      <c r="AJ81">
        <v>334</v>
      </c>
      <c r="AK81">
        <v>16833.599999999999</v>
      </c>
      <c r="AL81">
        <v>416</v>
      </c>
      <c r="AM81">
        <v>8.8000000000000007</v>
      </c>
      <c r="AN81">
        <v>0</v>
      </c>
      <c r="AO81">
        <v>656</v>
      </c>
      <c r="AP81">
        <v>0</v>
      </c>
      <c r="AQ81">
        <v>1927</v>
      </c>
      <c r="AR81">
        <v>28</v>
      </c>
      <c r="AS81">
        <v>0</v>
      </c>
      <c r="AT81">
        <v>6.5656053406189399</v>
      </c>
      <c r="AU81">
        <v>1.3719488280307499</v>
      </c>
      <c r="AV81">
        <v>1.04954911306955E-2</v>
      </c>
      <c r="AW81">
        <v>6.2973561356858196</v>
      </c>
    </row>
    <row r="82" spans="1:49">
      <c r="A82">
        <v>80</v>
      </c>
      <c r="B82" t="s">
        <v>415</v>
      </c>
      <c r="C82">
        <v>63403</v>
      </c>
      <c r="D82" t="s">
        <v>391</v>
      </c>
      <c r="E82">
        <v>698.12099999999998</v>
      </c>
      <c r="F82">
        <v>185893</v>
      </c>
      <c r="G82">
        <v>2.2854999999999999</v>
      </c>
      <c r="H82">
        <v>0.59</v>
      </c>
      <c r="I82">
        <v>7.97</v>
      </c>
      <c r="J82">
        <v>353.63799999999998</v>
      </c>
      <c r="K82">
        <v>2</v>
      </c>
      <c r="L82">
        <v>8</v>
      </c>
      <c r="M82">
        <v>3.75</v>
      </c>
      <c r="N82">
        <v>3.569</v>
      </c>
      <c r="O82">
        <v>5</v>
      </c>
      <c r="P82">
        <v>28.876999999999999</v>
      </c>
      <c r="Q82">
        <v>4</v>
      </c>
      <c r="R82">
        <v>8</v>
      </c>
      <c r="S82">
        <v>4.75</v>
      </c>
      <c r="T82">
        <v>3.4249999999999998</v>
      </c>
      <c r="U82">
        <v>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114583.459999999</v>
      </c>
      <c r="AD82">
        <v>5769.4</v>
      </c>
      <c r="AE82">
        <v>168562.20800000001</v>
      </c>
      <c r="AF82">
        <v>4276.5</v>
      </c>
      <c r="AG82">
        <v>29070</v>
      </c>
      <c r="AH82">
        <v>45.2</v>
      </c>
      <c r="AI82">
        <v>11759.722</v>
      </c>
      <c r="AJ82">
        <v>16152.07</v>
      </c>
      <c r="AK82">
        <v>37816.82</v>
      </c>
      <c r="AL82">
        <v>5570.65</v>
      </c>
      <c r="AM82">
        <v>222.4</v>
      </c>
      <c r="AN82">
        <v>0</v>
      </c>
      <c r="AO82">
        <v>2135</v>
      </c>
      <c r="AP82">
        <v>234</v>
      </c>
      <c r="AQ82">
        <v>26835</v>
      </c>
      <c r="AR82">
        <v>102</v>
      </c>
      <c r="AS82">
        <v>0</v>
      </c>
      <c r="AT82">
        <v>148.85014991442401</v>
      </c>
      <c r="AU82">
        <v>80.753777406833294</v>
      </c>
      <c r="AV82">
        <v>8.2327914999514196E-2</v>
      </c>
      <c r="AW82">
        <v>9.5665766857031596</v>
      </c>
    </row>
    <row r="83" spans="1:49">
      <c r="A83">
        <v>81</v>
      </c>
      <c r="B83" t="s">
        <v>416</v>
      </c>
      <c r="C83">
        <v>62305</v>
      </c>
      <c r="D83" t="s">
        <v>327</v>
      </c>
      <c r="E83">
        <v>699.20799999999997</v>
      </c>
      <c r="F83">
        <v>291750</v>
      </c>
      <c r="G83">
        <v>2.70485714285714</v>
      </c>
      <c r="H83">
        <v>0.66</v>
      </c>
      <c r="I83">
        <v>7.88</v>
      </c>
      <c r="J83">
        <v>403.00099999999998</v>
      </c>
      <c r="K83">
        <v>1</v>
      </c>
      <c r="L83">
        <v>10</v>
      </c>
      <c r="M83">
        <v>3.9285714285714199</v>
      </c>
      <c r="N83">
        <v>3.5</v>
      </c>
      <c r="O83">
        <v>4</v>
      </c>
      <c r="P83">
        <v>178.84200000000001</v>
      </c>
      <c r="Q83">
        <v>4</v>
      </c>
      <c r="R83">
        <v>10</v>
      </c>
      <c r="S83">
        <v>6.1428571428571397</v>
      </c>
      <c r="T83">
        <v>3.5</v>
      </c>
      <c r="U83">
        <v>3.8333333333333299</v>
      </c>
      <c r="V83">
        <v>0</v>
      </c>
      <c r="W83">
        <v>0</v>
      </c>
      <c r="X83">
        <v>0</v>
      </c>
      <c r="Y83">
        <v>0</v>
      </c>
      <c r="Z83">
        <v>0</v>
      </c>
      <c r="AA83">
        <v>990</v>
      </c>
      <c r="AB83">
        <v>1</v>
      </c>
      <c r="AC83">
        <v>450171.48</v>
      </c>
      <c r="AD83">
        <v>19331.099999999999</v>
      </c>
      <c r="AE83">
        <v>89455.741999999998</v>
      </c>
      <c r="AF83">
        <v>2959.5</v>
      </c>
      <c r="AG83">
        <v>17965.044000000002</v>
      </c>
      <c r="AH83">
        <v>366.4</v>
      </c>
      <c r="AI83">
        <v>81681</v>
      </c>
      <c r="AJ83">
        <v>56082</v>
      </c>
      <c r="AK83">
        <v>123367.31</v>
      </c>
      <c r="AL83">
        <v>11716.072</v>
      </c>
      <c r="AM83">
        <v>210.7</v>
      </c>
      <c r="AN83">
        <v>0</v>
      </c>
      <c r="AO83">
        <v>2245</v>
      </c>
      <c r="AP83">
        <v>414</v>
      </c>
      <c r="AQ83">
        <v>19689</v>
      </c>
      <c r="AR83">
        <v>70</v>
      </c>
      <c r="AS83">
        <v>0</v>
      </c>
      <c r="AT83">
        <v>198.96714305053001</v>
      </c>
      <c r="AU83">
        <v>499.65025521419699</v>
      </c>
      <c r="AV83">
        <v>0.11807085096923201</v>
      </c>
      <c r="AW83">
        <v>13.019372597765299</v>
      </c>
    </row>
    <row r="84" spans="1:49">
      <c r="A84">
        <v>82</v>
      </c>
      <c r="B84" t="s">
        <v>417</v>
      </c>
      <c r="C84">
        <v>62403</v>
      </c>
      <c r="D84" t="s">
        <v>327</v>
      </c>
      <c r="E84">
        <v>679.35299999999995</v>
      </c>
      <c r="F84">
        <v>197632</v>
      </c>
      <c r="G84">
        <v>2.5288421052631498</v>
      </c>
      <c r="H84">
        <v>0.51</v>
      </c>
      <c r="I84">
        <v>7.89</v>
      </c>
      <c r="J84">
        <v>475.67700000000002</v>
      </c>
      <c r="K84">
        <v>2</v>
      </c>
      <c r="L84">
        <v>4</v>
      </c>
      <c r="M84">
        <v>2.8333333333333299</v>
      </c>
      <c r="N84">
        <v>3.5</v>
      </c>
      <c r="O84">
        <v>4.3760000000000003</v>
      </c>
      <c r="P84">
        <v>9.4600000000000009</v>
      </c>
      <c r="Q84">
        <v>2</v>
      </c>
      <c r="R84">
        <v>4</v>
      </c>
      <c r="S84">
        <v>3.3333333333333299</v>
      </c>
      <c r="T84">
        <v>3.5</v>
      </c>
      <c r="U84">
        <v>2.6666666666666599</v>
      </c>
      <c r="V84">
        <v>0</v>
      </c>
      <c r="W84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>
        <v>62138.48</v>
      </c>
      <c r="AD84">
        <v>250</v>
      </c>
      <c r="AE84">
        <v>86341.785999999993</v>
      </c>
      <c r="AF84">
        <v>1343.5</v>
      </c>
      <c r="AG84">
        <v>6346</v>
      </c>
      <c r="AH84">
        <v>37</v>
      </c>
      <c r="AI84">
        <v>32459.862999999899</v>
      </c>
      <c r="AJ84">
        <v>28074</v>
      </c>
      <c r="AK84">
        <v>128380475.26199999</v>
      </c>
      <c r="AL84">
        <v>10602.55</v>
      </c>
      <c r="AM84">
        <v>459.3</v>
      </c>
      <c r="AN84">
        <v>2.4</v>
      </c>
      <c r="AO84">
        <v>6038</v>
      </c>
      <c r="AP84">
        <v>585</v>
      </c>
      <c r="AQ84">
        <v>48752</v>
      </c>
      <c r="AR84">
        <v>193</v>
      </c>
      <c r="AS84">
        <v>0</v>
      </c>
      <c r="AT84">
        <v>184.219625510149</v>
      </c>
      <c r="AU84">
        <v>138.08456582970601</v>
      </c>
      <c r="AV84">
        <v>-6.2070026836964699E-2</v>
      </c>
      <c r="AW84">
        <v>8.2263782244101495</v>
      </c>
    </row>
    <row r="85" spans="1:49">
      <c r="A85">
        <v>83</v>
      </c>
      <c r="B85" t="s">
        <v>418</v>
      </c>
      <c r="C85">
        <v>55702</v>
      </c>
      <c r="D85" t="s">
        <v>371</v>
      </c>
      <c r="E85">
        <v>587.94499999999903</v>
      </c>
      <c r="F85">
        <v>136620</v>
      </c>
      <c r="G85">
        <v>2.4035833333333301</v>
      </c>
      <c r="H85">
        <v>0.6</v>
      </c>
      <c r="I85">
        <v>7.97</v>
      </c>
      <c r="J85">
        <v>200.85399999999899</v>
      </c>
      <c r="K85">
        <v>1</v>
      </c>
      <c r="L85">
        <v>4</v>
      </c>
      <c r="M85">
        <v>2.8333333333333299</v>
      </c>
      <c r="N85">
        <v>3.5</v>
      </c>
      <c r="O85">
        <v>5</v>
      </c>
      <c r="P85">
        <v>27.724</v>
      </c>
      <c r="Q85">
        <v>1</v>
      </c>
      <c r="R85">
        <v>6</v>
      </c>
      <c r="S85">
        <v>4</v>
      </c>
      <c r="T85">
        <v>3.5</v>
      </c>
      <c r="U85">
        <v>5</v>
      </c>
      <c r="V85">
        <v>0</v>
      </c>
      <c r="W85">
        <v>0</v>
      </c>
      <c r="X85">
        <v>0</v>
      </c>
      <c r="Y85">
        <v>239</v>
      </c>
      <c r="Z85">
        <v>0</v>
      </c>
      <c r="AA85">
        <v>660</v>
      </c>
      <c r="AB85">
        <v>1</v>
      </c>
      <c r="AC85">
        <v>56404.819499999998</v>
      </c>
      <c r="AD85">
        <v>11892.4</v>
      </c>
      <c r="AE85">
        <v>105120.969</v>
      </c>
      <c r="AF85">
        <v>9343.4</v>
      </c>
      <c r="AG85">
        <v>6422.03</v>
      </c>
      <c r="AH85">
        <v>93.799999999999798</v>
      </c>
      <c r="AI85">
        <v>53196</v>
      </c>
      <c r="AJ85">
        <v>63901</v>
      </c>
      <c r="AK85">
        <v>2487741.1800000002</v>
      </c>
      <c r="AL85">
        <v>7672.58</v>
      </c>
      <c r="AM85">
        <v>65.8</v>
      </c>
      <c r="AN85">
        <v>0</v>
      </c>
      <c r="AO85">
        <v>2211</v>
      </c>
      <c r="AP85">
        <v>292</v>
      </c>
      <c r="AQ85">
        <v>14197</v>
      </c>
      <c r="AR85">
        <v>99</v>
      </c>
      <c r="AS85">
        <v>0</v>
      </c>
      <c r="AT85">
        <v>71.460185374548004</v>
      </c>
      <c r="AU85">
        <v>210.32484846205699</v>
      </c>
      <c r="AV85">
        <v>8.8641566224545401E-2</v>
      </c>
      <c r="AW85">
        <v>11.6167711870948</v>
      </c>
    </row>
    <row r="86" spans="1:49">
      <c r="A86">
        <v>84</v>
      </c>
      <c r="B86" t="s">
        <v>419</v>
      </c>
      <c r="C86">
        <v>55803</v>
      </c>
      <c r="D86" t="s">
        <v>371</v>
      </c>
      <c r="E86">
        <v>556.34</v>
      </c>
      <c r="F86">
        <v>89530</v>
      </c>
      <c r="G86">
        <v>2.4647999999999999</v>
      </c>
      <c r="H86">
        <v>0.69</v>
      </c>
      <c r="I86">
        <v>7.97</v>
      </c>
      <c r="J86">
        <v>452.89800000000002</v>
      </c>
      <c r="K86">
        <v>2</v>
      </c>
      <c r="L86">
        <v>4</v>
      </c>
      <c r="M86">
        <v>2.4666666666666601</v>
      </c>
      <c r="N86">
        <v>3.5</v>
      </c>
      <c r="O86">
        <v>5.0410000000000004</v>
      </c>
      <c r="P86">
        <v>0</v>
      </c>
      <c r="V86">
        <v>0</v>
      </c>
      <c r="W86">
        <v>1310</v>
      </c>
      <c r="X86">
        <v>3</v>
      </c>
      <c r="Y86">
        <v>1230</v>
      </c>
      <c r="Z86">
        <v>1</v>
      </c>
      <c r="AA86">
        <v>828</v>
      </c>
      <c r="AB86">
        <v>18</v>
      </c>
      <c r="AC86">
        <v>13383.75</v>
      </c>
      <c r="AD86">
        <v>3345.8</v>
      </c>
      <c r="AE86">
        <v>38438.3999999999</v>
      </c>
      <c r="AF86">
        <v>230</v>
      </c>
      <c r="AG86">
        <v>1977</v>
      </c>
      <c r="AH86">
        <v>9.6</v>
      </c>
      <c r="AI86">
        <v>64819</v>
      </c>
      <c r="AJ86">
        <v>36909</v>
      </c>
      <c r="AK86">
        <v>69967.399999999994</v>
      </c>
      <c r="AL86">
        <v>5927.4</v>
      </c>
      <c r="AM86">
        <v>128</v>
      </c>
      <c r="AN86">
        <v>0</v>
      </c>
      <c r="AO86">
        <v>1029</v>
      </c>
      <c r="AP86">
        <v>114</v>
      </c>
      <c r="AQ86">
        <v>10844</v>
      </c>
      <c r="AR86">
        <v>43</v>
      </c>
      <c r="AS86">
        <v>0</v>
      </c>
      <c r="AT86">
        <v>264.437646901584</v>
      </c>
      <c r="AU86">
        <v>5862.3219760929196</v>
      </c>
      <c r="AV86">
        <v>0.32503176715951398</v>
      </c>
      <c r="AW86">
        <v>71.155075349738695</v>
      </c>
    </row>
    <row r="87" spans="1:49">
      <c r="A87">
        <v>85</v>
      </c>
      <c r="B87" t="s">
        <v>420</v>
      </c>
      <c r="C87">
        <v>44701</v>
      </c>
      <c r="D87" t="s">
        <v>321</v>
      </c>
      <c r="E87">
        <v>547.51199999999994</v>
      </c>
      <c r="F87">
        <v>132510</v>
      </c>
      <c r="G87">
        <v>2.2131111111111101</v>
      </c>
      <c r="H87">
        <v>0.64</v>
      </c>
      <c r="I87">
        <v>7.91</v>
      </c>
      <c r="J87">
        <v>229.20599999999999</v>
      </c>
      <c r="K87">
        <v>2</v>
      </c>
      <c r="L87">
        <v>6</v>
      </c>
      <c r="M87">
        <v>2.7777777777777701</v>
      </c>
      <c r="N87">
        <v>3.5</v>
      </c>
      <c r="O87">
        <v>5</v>
      </c>
      <c r="P87">
        <v>6.2349999999999897</v>
      </c>
      <c r="Q87">
        <v>2</v>
      </c>
      <c r="R87">
        <v>2</v>
      </c>
      <c r="S87">
        <v>2</v>
      </c>
      <c r="T87">
        <v>3.5</v>
      </c>
      <c r="U87">
        <v>5</v>
      </c>
      <c r="V87">
        <v>8820.5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68096.19</v>
      </c>
      <c r="AD87">
        <v>0</v>
      </c>
      <c r="AE87">
        <v>139880.72700000001</v>
      </c>
      <c r="AF87">
        <v>3512</v>
      </c>
      <c r="AG87">
        <v>32742</v>
      </c>
      <c r="AH87">
        <v>111</v>
      </c>
      <c r="AI87">
        <v>63287</v>
      </c>
      <c r="AJ87">
        <v>16047</v>
      </c>
      <c r="AK87">
        <v>26805.11</v>
      </c>
      <c r="AL87">
        <v>18937.826000000001</v>
      </c>
      <c r="AM87">
        <v>12</v>
      </c>
      <c r="AN87">
        <v>0</v>
      </c>
      <c r="AO87">
        <v>778</v>
      </c>
      <c r="AP87">
        <v>0</v>
      </c>
      <c r="AQ87">
        <v>25750</v>
      </c>
      <c r="AR87">
        <v>133</v>
      </c>
      <c r="AS87">
        <v>0</v>
      </c>
      <c r="AT87">
        <v>78.024280784785105</v>
      </c>
      <c r="AU87">
        <v>1589.6901517157901</v>
      </c>
      <c r="AV87">
        <v>0.12225137272145201</v>
      </c>
      <c r="AW87">
        <v>9.2011558057804308</v>
      </c>
    </row>
    <row r="88" spans="1:49">
      <c r="A88">
        <v>86</v>
      </c>
      <c r="B88" t="s">
        <v>421</v>
      </c>
      <c r="C88">
        <v>63106</v>
      </c>
      <c r="D88" t="s">
        <v>391</v>
      </c>
      <c r="E88">
        <v>639.11599999999999</v>
      </c>
      <c r="F88">
        <v>326164</v>
      </c>
      <c r="G88">
        <v>2.5269333333333299</v>
      </c>
      <c r="H88">
        <v>0.59</v>
      </c>
      <c r="I88">
        <v>7.95</v>
      </c>
      <c r="J88">
        <v>485.981999999999</v>
      </c>
      <c r="K88">
        <v>1</v>
      </c>
      <c r="L88">
        <v>8</v>
      </c>
      <c r="M88">
        <v>3.2666666666666599</v>
      </c>
      <c r="N88">
        <v>3.5</v>
      </c>
      <c r="O88">
        <v>5</v>
      </c>
      <c r="P88">
        <v>27.712</v>
      </c>
      <c r="Q88">
        <v>2</v>
      </c>
      <c r="R88">
        <v>8</v>
      </c>
      <c r="S88">
        <v>4.875</v>
      </c>
      <c r="T88">
        <v>3.5</v>
      </c>
      <c r="U88">
        <v>5.125</v>
      </c>
      <c r="V88">
        <v>0</v>
      </c>
      <c r="W88">
        <v>10201</v>
      </c>
      <c r="X88">
        <v>3</v>
      </c>
      <c r="Y88">
        <v>0</v>
      </c>
      <c r="Z88">
        <v>0</v>
      </c>
      <c r="AA88">
        <v>0</v>
      </c>
      <c r="AB88">
        <v>0</v>
      </c>
      <c r="AC88">
        <v>128266.6</v>
      </c>
      <c r="AD88">
        <v>2034.9</v>
      </c>
      <c r="AE88">
        <v>109588.204</v>
      </c>
      <c r="AF88">
        <v>1133</v>
      </c>
      <c r="AG88">
        <v>20273</v>
      </c>
      <c r="AH88">
        <v>37.4</v>
      </c>
      <c r="AI88">
        <v>90798.187999999995</v>
      </c>
      <c r="AJ88">
        <v>11231</v>
      </c>
      <c r="AK88">
        <v>125378.2</v>
      </c>
      <c r="AL88">
        <v>8403</v>
      </c>
      <c r="AM88">
        <v>160.9</v>
      </c>
      <c r="AN88">
        <v>0</v>
      </c>
      <c r="AO88">
        <v>1464</v>
      </c>
      <c r="AP88">
        <v>258</v>
      </c>
      <c r="AQ88">
        <v>51911</v>
      </c>
      <c r="AR88">
        <v>68</v>
      </c>
      <c r="AS88">
        <v>0</v>
      </c>
      <c r="AT88">
        <v>117.938825132587</v>
      </c>
      <c r="AU88">
        <v>44.364150129287701</v>
      </c>
      <c r="AV88">
        <v>-1.4132145275342499E-2</v>
      </c>
      <c r="AW88">
        <v>13.239974166133299</v>
      </c>
    </row>
    <row r="89" spans="1:49">
      <c r="A89">
        <v>87</v>
      </c>
      <c r="B89" t="s">
        <v>422</v>
      </c>
      <c r="C89">
        <v>63204</v>
      </c>
      <c r="D89" t="s">
        <v>391</v>
      </c>
      <c r="E89">
        <v>614.94399999999996</v>
      </c>
      <c r="F89">
        <v>197395</v>
      </c>
      <c r="G89">
        <v>2.7022727272727201</v>
      </c>
      <c r="H89">
        <v>0.57999999999999996</v>
      </c>
      <c r="I89">
        <v>7.87</v>
      </c>
      <c r="J89">
        <v>332.12099999999998</v>
      </c>
      <c r="K89">
        <v>1</v>
      </c>
      <c r="L89">
        <v>8</v>
      </c>
      <c r="M89">
        <v>2.8181818181818099</v>
      </c>
      <c r="N89">
        <v>4.3550000000000004</v>
      </c>
      <c r="O89">
        <v>6.25</v>
      </c>
      <c r="P89">
        <v>3.6970000000000001</v>
      </c>
      <c r="Q89">
        <v>4</v>
      </c>
      <c r="R89">
        <v>8</v>
      </c>
      <c r="S89">
        <v>5</v>
      </c>
      <c r="T89">
        <v>3.5</v>
      </c>
      <c r="U89">
        <v>5</v>
      </c>
      <c r="V89">
        <v>0</v>
      </c>
      <c r="W89">
        <v>0</v>
      </c>
      <c r="X89">
        <v>0</v>
      </c>
      <c r="Y89">
        <v>0</v>
      </c>
      <c r="Z89">
        <v>0</v>
      </c>
      <c r="AA89">
        <v>414</v>
      </c>
      <c r="AB89">
        <v>2</v>
      </c>
      <c r="AC89">
        <v>63853.6499999999</v>
      </c>
      <c r="AD89">
        <v>1675</v>
      </c>
      <c r="AE89">
        <v>135061.19</v>
      </c>
      <c r="AF89">
        <v>3609.6499999999901</v>
      </c>
      <c r="AG89">
        <v>10608</v>
      </c>
      <c r="AH89">
        <v>77.199999999999903</v>
      </c>
      <c r="AI89">
        <v>106902.356</v>
      </c>
      <c r="AJ89">
        <v>29948</v>
      </c>
      <c r="AK89">
        <v>61201.9399999999</v>
      </c>
      <c r="AL89">
        <v>9478</v>
      </c>
      <c r="AM89">
        <v>192.2</v>
      </c>
      <c r="AN89">
        <v>0</v>
      </c>
      <c r="AO89">
        <v>2250</v>
      </c>
      <c r="AP89">
        <v>285</v>
      </c>
      <c r="AQ89">
        <v>12695</v>
      </c>
      <c r="AR89">
        <v>146</v>
      </c>
      <c r="AS89">
        <v>0</v>
      </c>
      <c r="AT89">
        <v>146.994920593789</v>
      </c>
      <c r="AU89">
        <v>171.21254993214799</v>
      </c>
      <c r="AV89">
        <v>7.4021965588661601E-2</v>
      </c>
      <c r="AW89">
        <v>12.5221813041201</v>
      </c>
    </row>
    <row r="90" spans="1:49">
      <c r="A90">
        <v>88</v>
      </c>
      <c r="B90" t="s">
        <v>423</v>
      </c>
      <c r="C90">
        <v>44804</v>
      </c>
      <c r="D90" t="s">
        <v>321</v>
      </c>
      <c r="E90">
        <v>592.43499999999995</v>
      </c>
      <c r="F90">
        <v>339284</v>
      </c>
      <c r="G90">
        <v>2.5053000000000001</v>
      </c>
      <c r="H90">
        <v>0.52</v>
      </c>
      <c r="I90">
        <v>7.92</v>
      </c>
      <c r="J90">
        <v>273.01299999999998</v>
      </c>
      <c r="K90">
        <v>1</v>
      </c>
      <c r="L90">
        <v>8</v>
      </c>
      <c r="M90">
        <v>4</v>
      </c>
      <c r="N90">
        <v>3.5</v>
      </c>
      <c r="O90">
        <v>5.3339999999999996</v>
      </c>
      <c r="P90">
        <v>44.847999999999999</v>
      </c>
      <c r="Q90">
        <v>1</v>
      </c>
      <c r="R90">
        <v>6</v>
      </c>
      <c r="S90">
        <v>2.71428571428571</v>
      </c>
      <c r="T90">
        <v>3.5</v>
      </c>
      <c r="U90">
        <v>4.8886666666666603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88127.74</v>
      </c>
      <c r="AD90">
        <v>28333.4</v>
      </c>
      <c r="AE90">
        <v>78102.835000000006</v>
      </c>
      <c r="AF90">
        <v>1016.5</v>
      </c>
      <c r="AG90">
        <v>33326</v>
      </c>
      <c r="AH90">
        <v>60.2</v>
      </c>
      <c r="AI90">
        <v>53772</v>
      </c>
      <c r="AJ90">
        <v>10999</v>
      </c>
      <c r="AK90">
        <v>3214.72</v>
      </c>
      <c r="AL90">
        <v>3977.9</v>
      </c>
      <c r="AM90">
        <v>103.6</v>
      </c>
      <c r="AN90">
        <v>0</v>
      </c>
      <c r="AO90">
        <v>1193</v>
      </c>
      <c r="AP90">
        <v>156</v>
      </c>
      <c r="AQ90">
        <v>6492</v>
      </c>
      <c r="AR90">
        <v>113</v>
      </c>
      <c r="AS90">
        <v>20</v>
      </c>
      <c r="AT90">
        <v>16.946733347391799</v>
      </c>
      <c r="AU90">
        <v>1.5958682310758201</v>
      </c>
      <c r="AV90">
        <v>2.1181655750604399E-2</v>
      </c>
      <c r="AW90">
        <v>6.0589230706785902</v>
      </c>
    </row>
    <row r="91" spans="1:49">
      <c r="A91">
        <v>89</v>
      </c>
      <c r="B91" t="s">
        <v>424</v>
      </c>
      <c r="C91">
        <v>53302</v>
      </c>
      <c r="D91" t="s">
        <v>360</v>
      </c>
      <c r="E91">
        <v>1057.8050000000001</v>
      </c>
      <c r="F91">
        <v>329041</v>
      </c>
      <c r="G91">
        <v>2.6423333333333301</v>
      </c>
      <c r="H91">
        <v>0.55000000000000004</v>
      </c>
      <c r="I91">
        <v>7.98</v>
      </c>
      <c r="J91">
        <v>534.20000000000005</v>
      </c>
      <c r="K91">
        <v>1</v>
      </c>
      <c r="L91">
        <v>8</v>
      </c>
      <c r="M91">
        <v>2.7777777777777701</v>
      </c>
      <c r="N91">
        <v>3.625</v>
      </c>
      <c r="O91">
        <v>6.8659999999999997</v>
      </c>
      <c r="P91">
        <v>70.638999999999996</v>
      </c>
      <c r="Q91">
        <v>1</v>
      </c>
      <c r="R91">
        <v>8</v>
      </c>
      <c r="S91">
        <v>3.93333333333333</v>
      </c>
      <c r="T91">
        <v>3.5</v>
      </c>
      <c r="U91">
        <v>3.9512307692307602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92854.399999999994</v>
      </c>
      <c r="AD91">
        <v>39270</v>
      </c>
      <c r="AE91">
        <v>61121.745000000097</v>
      </c>
      <c r="AF91">
        <v>2042</v>
      </c>
      <c r="AG91">
        <v>9609</v>
      </c>
      <c r="AH91">
        <v>31.599999999999898</v>
      </c>
      <c r="AI91">
        <v>22074</v>
      </c>
      <c r="AJ91">
        <v>38917</v>
      </c>
      <c r="AK91">
        <v>30662.354999999901</v>
      </c>
      <c r="AL91">
        <v>7018</v>
      </c>
      <c r="AM91">
        <v>242.60000000000099</v>
      </c>
      <c r="AN91">
        <v>0</v>
      </c>
      <c r="AO91">
        <v>1240</v>
      </c>
      <c r="AP91">
        <v>136</v>
      </c>
      <c r="AQ91">
        <v>22598</v>
      </c>
      <c r="AR91">
        <v>33</v>
      </c>
      <c r="AS91">
        <v>0</v>
      </c>
      <c r="AT91">
        <v>520.94979556225701</v>
      </c>
      <c r="AU91">
        <v>10405.1400888424</v>
      </c>
      <c r="AV91">
        <v>0.45774884227643298</v>
      </c>
      <c r="AW91">
        <v>66.701883907760703</v>
      </c>
    </row>
    <row r="92" spans="1:49">
      <c r="A92">
        <v>90</v>
      </c>
      <c r="B92" t="s">
        <v>425</v>
      </c>
      <c r="C92">
        <v>53702</v>
      </c>
      <c r="D92" t="s">
        <v>360</v>
      </c>
      <c r="E92">
        <v>972.84299999999996</v>
      </c>
      <c r="F92">
        <v>290986</v>
      </c>
      <c r="G92">
        <v>2.28725806451612</v>
      </c>
      <c r="H92">
        <v>0.54</v>
      </c>
      <c r="I92">
        <v>7.97</v>
      </c>
      <c r="J92">
        <v>664.37099999999998</v>
      </c>
      <c r="K92">
        <v>2</v>
      </c>
      <c r="L92">
        <v>8</v>
      </c>
      <c r="M92">
        <v>2.7741935483870899</v>
      </c>
      <c r="N92">
        <v>3.5</v>
      </c>
      <c r="O92">
        <v>5</v>
      </c>
      <c r="P92">
        <v>26.047999999999998</v>
      </c>
      <c r="Q92">
        <v>2</v>
      </c>
      <c r="R92">
        <v>8</v>
      </c>
      <c r="S92">
        <v>4.1176470588235201</v>
      </c>
      <c r="T92">
        <v>3.4318181818181799</v>
      </c>
      <c r="U92">
        <v>3.6124999999999998</v>
      </c>
      <c r="V92">
        <v>40.76</v>
      </c>
      <c r="W92">
        <v>0</v>
      </c>
      <c r="X92">
        <v>0</v>
      </c>
      <c r="Y92">
        <v>0</v>
      </c>
      <c r="Z92">
        <v>0</v>
      </c>
      <c r="AA92">
        <v>26</v>
      </c>
      <c r="AB92">
        <v>1</v>
      </c>
      <c r="AC92">
        <v>145334.03</v>
      </c>
      <c r="AD92">
        <v>2446.8000000000002</v>
      </c>
      <c r="AE92">
        <v>184332.43</v>
      </c>
      <c r="AF92">
        <v>2079</v>
      </c>
      <c r="AG92">
        <v>3565</v>
      </c>
      <c r="AH92">
        <v>2.4</v>
      </c>
      <c r="AI92">
        <v>60838.979999999901</v>
      </c>
      <c r="AJ92">
        <v>87260</v>
      </c>
      <c r="AK92">
        <v>3794149.165</v>
      </c>
      <c r="AL92">
        <v>15639.5</v>
      </c>
      <c r="AM92">
        <v>106.99999999999901</v>
      </c>
      <c r="AN92">
        <v>0</v>
      </c>
      <c r="AO92">
        <v>4053</v>
      </c>
      <c r="AP92">
        <v>317</v>
      </c>
      <c r="AQ92">
        <v>42554</v>
      </c>
      <c r="AR92">
        <v>53</v>
      </c>
      <c r="AS92">
        <v>9</v>
      </c>
      <c r="AT92">
        <v>403.32226284586301</v>
      </c>
      <c r="AU92">
        <v>1545.58351982309</v>
      </c>
      <c r="AV92">
        <v>-1.31337667427708E-2</v>
      </c>
      <c r="AW92">
        <v>23.268515410976999</v>
      </c>
    </row>
    <row r="93" spans="1:49">
      <c r="A93">
        <v>91</v>
      </c>
      <c r="B93" t="s">
        <v>426</v>
      </c>
      <c r="C93">
        <v>52107</v>
      </c>
      <c r="D93" t="s">
        <v>387</v>
      </c>
      <c r="E93">
        <v>726.73199999999997</v>
      </c>
      <c r="F93">
        <v>124272</v>
      </c>
      <c r="G93">
        <v>2.50766666666666</v>
      </c>
      <c r="H93">
        <v>0.06</v>
      </c>
      <c r="I93">
        <v>7.97</v>
      </c>
      <c r="J93">
        <v>177.892</v>
      </c>
      <c r="K93">
        <v>1</v>
      </c>
      <c r="L93">
        <v>6</v>
      </c>
      <c r="M93">
        <v>4</v>
      </c>
      <c r="N93">
        <v>3.5</v>
      </c>
      <c r="O93">
        <v>4.7460000000000004</v>
      </c>
      <c r="P93">
        <v>38.606999999999999</v>
      </c>
      <c r="Q93">
        <v>2</v>
      </c>
      <c r="R93">
        <v>6</v>
      </c>
      <c r="S93">
        <v>4.3333333333333304</v>
      </c>
      <c r="T93">
        <v>3.5</v>
      </c>
      <c r="U93">
        <v>4.2669999999999897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52776.187599999997</v>
      </c>
      <c r="AD93">
        <v>46843</v>
      </c>
      <c r="AE93">
        <v>69666.650999999896</v>
      </c>
      <c r="AF93">
        <v>433</v>
      </c>
      <c r="AG93">
        <v>3286.5</v>
      </c>
      <c r="AH93">
        <v>42.2</v>
      </c>
      <c r="AI93">
        <v>54113</v>
      </c>
      <c r="AJ93">
        <v>86952.2</v>
      </c>
      <c r="AK93">
        <v>53903.701999999997</v>
      </c>
      <c r="AL93">
        <v>8321</v>
      </c>
      <c r="AM93">
        <v>179.099999999999</v>
      </c>
      <c r="AN93">
        <v>0</v>
      </c>
      <c r="AO93">
        <v>2725</v>
      </c>
      <c r="AP93">
        <v>256</v>
      </c>
      <c r="AQ93">
        <v>30834</v>
      </c>
      <c r="AR93">
        <v>44</v>
      </c>
      <c r="AS93">
        <v>0</v>
      </c>
      <c r="AT93">
        <v>543.76968000849502</v>
      </c>
      <c r="AU93">
        <v>53678.551260967797</v>
      </c>
      <c r="AV93">
        <v>-0.20911810087598801</v>
      </c>
      <c r="AW93">
        <v>55.756473274740301</v>
      </c>
    </row>
    <row r="94" spans="1:49">
      <c r="A94">
        <v>92</v>
      </c>
      <c r="B94" t="s">
        <v>427</v>
      </c>
      <c r="C94">
        <v>52203</v>
      </c>
      <c r="D94" t="s">
        <v>387</v>
      </c>
      <c r="E94">
        <v>800.46600000000001</v>
      </c>
      <c r="F94">
        <v>680342</v>
      </c>
      <c r="G94">
        <v>2.4572857142857099</v>
      </c>
      <c r="H94">
        <v>0.51</v>
      </c>
      <c r="I94">
        <v>7.94</v>
      </c>
      <c r="J94">
        <v>189.648</v>
      </c>
      <c r="K94">
        <v>1</v>
      </c>
      <c r="L94">
        <v>10</v>
      </c>
      <c r="M94">
        <v>4</v>
      </c>
      <c r="N94">
        <v>3.5</v>
      </c>
      <c r="O94">
        <v>4.6820000000000004</v>
      </c>
      <c r="P94">
        <v>137.88499999999999</v>
      </c>
      <c r="Q94">
        <v>2</v>
      </c>
      <c r="R94">
        <v>12</v>
      </c>
      <c r="S94">
        <v>6</v>
      </c>
      <c r="T94">
        <v>3.5</v>
      </c>
      <c r="U94">
        <v>4.7460000000000004</v>
      </c>
      <c r="V94">
        <v>42735</v>
      </c>
      <c r="W94">
        <v>0</v>
      </c>
      <c r="X94">
        <v>0</v>
      </c>
      <c r="Y94">
        <v>0</v>
      </c>
      <c r="Z94">
        <v>0</v>
      </c>
      <c r="AA94">
        <v>780</v>
      </c>
      <c r="AB94">
        <v>1</v>
      </c>
      <c r="AC94">
        <v>177314.18</v>
      </c>
      <c r="AD94">
        <v>78043</v>
      </c>
      <c r="AE94">
        <v>157395.79500000001</v>
      </c>
      <c r="AF94">
        <v>3723.3</v>
      </c>
      <c r="AG94">
        <v>34357</v>
      </c>
      <c r="AH94">
        <v>93.1</v>
      </c>
      <c r="AI94">
        <v>120215.05499999999</v>
      </c>
      <c r="AJ94">
        <v>105689</v>
      </c>
      <c r="AK94">
        <v>91960.758000000002</v>
      </c>
      <c r="AL94">
        <v>22158.799999999999</v>
      </c>
      <c r="AM94">
        <v>618.19999999999902</v>
      </c>
      <c r="AN94">
        <v>0</v>
      </c>
      <c r="AO94">
        <v>4083</v>
      </c>
      <c r="AP94">
        <v>318</v>
      </c>
      <c r="AQ94">
        <v>23374</v>
      </c>
      <c r="AR94">
        <v>91</v>
      </c>
      <c r="AS94">
        <v>0</v>
      </c>
      <c r="AT94">
        <v>440.56481659701399</v>
      </c>
      <c r="AU94">
        <v>12754.9905794805</v>
      </c>
      <c r="AV94">
        <v>0.50887516410451095</v>
      </c>
      <c r="AW94">
        <v>55.923049238591801</v>
      </c>
    </row>
    <row r="95" spans="1:49">
      <c r="A95">
        <v>93</v>
      </c>
      <c r="B95" t="s">
        <v>428</v>
      </c>
      <c r="C95">
        <v>52705</v>
      </c>
      <c r="D95" t="s">
        <v>387</v>
      </c>
      <c r="E95">
        <v>757.51199999999994</v>
      </c>
      <c r="F95">
        <v>120313</v>
      </c>
      <c r="G95">
        <v>2.7109999999999999</v>
      </c>
      <c r="H95">
        <v>0.73</v>
      </c>
      <c r="I95">
        <v>7.97</v>
      </c>
      <c r="J95">
        <v>288.858</v>
      </c>
      <c r="K95">
        <v>2</v>
      </c>
      <c r="L95">
        <v>6</v>
      </c>
      <c r="M95">
        <v>3.2</v>
      </c>
      <c r="N95">
        <v>3.5</v>
      </c>
      <c r="O95">
        <v>4.4000000000000004</v>
      </c>
      <c r="P95">
        <v>2.339</v>
      </c>
      <c r="Q95">
        <v>2</v>
      </c>
      <c r="R95">
        <v>6</v>
      </c>
      <c r="S95">
        <v>4.5</v>
      </c>
      <c r="T95">
        <v>3.5</v>
      </c>
      <c r="U95">
        <v>4.6669999999999998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64167.22</v>
      </c>
      <c r="AD95">
        <v>0</v>
      </c>
      <c r="AE95">
        <v>82255.622399999993</v>
      </c>
      <c r="AF95">
        <v>2975</v>
      </c>
      <c r="AG95">
        <v>0</v>
      </c>
      <c r="AH95">
        <v>0</v>
      </c>
      <c r="AI95">
        <v>14843.5</v>
      </c>
      <c r="AJ95">
        <v>52531</v>
      </c>
      <c r="AK95">
        <v>21026.02</v>
      </c>
      <c r="AL95">
        <v>10946.5</v>
      </c>
      <c r="AM95">
        <v>420.19999999999902</v>
      </c>
      <c r="AN95">
        <v>0</v>
      </c>
      <c r="AO95">
        <v>2443</v>
      </c>
      <c r="AP95">
        <v>163</v>
      </c>
      <c r="AQ95">
        <v>39227</v>
      </c>
      <c r="AR95">
        <v>26</v>
      </c>
      <c r="AS95">
        <v>0</v>
      </c>
      <c r="AT95">
        <v>727.93835363855601</v>
      </c>
      <c r="AU95">
        <v>34949.069875693996</v>
      </c>
      <c r="AV95">
        <v>-4.6281322747950999E-3</v>
      </c>
      <c r="AW95">
        <v>115.28721149780399</v>
      </c>
    </row>
    <row r="96" spans="1:49">
      <c r="A96">
        <v>94</v>
      </c>
      <c r="B96" t="s">
        <v>429</v>
      </c>
      <c r="C96">
        <v>33804</v>
      </c>
      <c r="D96" t="s">
        <v>338</v>
      </c>
      <c r="E96">
        <v>654.08000000000004</v>
      </c>
      <c r="F96">
        <v>315328</v>
      </c>
      <c r="G96">
        <v>2.1635</v>
      </c>
      <c r="H96">
        <v>0.53</v>
      </c>
      <c r="I96">
        <v>7.79</v>
      </c>
      <c r="J96">
        <v>395.89599999999899</v>
      </c>
      <c r="K96">
        <v>2</v>
      </c>
      <c r="L96">
        <v>6</v>
      </c>
      <c r="M96">
        <v>3</v>
      </c>
      <c r="N96">
        <v>5.5</v>
      </c>
      <c r="O96">
        <v>5</v>
      </c>
      <c r="P96">
        <v>12.129</v>
      </c>
      <c r="Q96">
        <v>2</v>
      </c>
      <c r="R96">
        <v>6</v>
      </c>
      <c r="S96">
        <v>3.75</v>
      </c>
      <c r="T96">
        <v>4.5594999999999999</v>
      </c>
      <c r="U96">
        <v>4.8890000000000002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1</v>
      </c>
      <c r="AC96">
        <v>22623.65</v>
      </c>
      <c r="AD96">
        <v>18739.099999999999</v>
      </c>
      <c r="AE96">
        <v>40715.390999999901</v>
      </c>
      <c r="AF96">
        <v>240</v>
      </c>
      <c r="AG96">
        <v>14689</v>
      </c>
      <c r="AH96">
        <v>19</v>
      </c>
      <c r="AI96">
        <v>31114</v>
      </c>
      <c r="AJ96">
        <v>2088</v>
      </c>
      <c r="AK96">
        <v>19923.3999999999</v>
      </c>
      <c r="AL96">
        <v>6876.3</v>
      </c>
      <c r="AM96">
        <v>177.9</v>
      </c>
      <c r="AN96">
        <v>0</v>
      </c>
      <c r="AO96">
        <v>1174</v>
      </c>
      <c r="AP96">
        <v>146</v>
      </c>
      <c r="AQ96">
        <v>2862</v>
      </c>
      <c r="AR96">
        <v>27</v>
      </c>
      <c r="AS96">
        <v>0</v>
      </c>
      <c r="AT96">
        <v>60.201237126188502</v>
      </c>
      <c r="AU96">
        <v>337.69281779816902</v>
      </c>
      <c r="AV96">
        <v>-5.0340711305797203E-2</v>
      </c>
      <c r="AW96">
        <v>10.2218090035466</v>
      </c>
    </row>
    <row r="97" spans="1:49">
      <c r="A97">
        <v>95</v>
      </c>
      <c r="B97" t="s">
        <v>430</v>
      </c>
      <c r="C97">
        <v>55105</v>
      </c>
      <c r="D97" t="s">
        <v>413</v>
      </c>
      <c r="E97">
        <v>998.13099999999997</v>
      </c>
      <c r="F97">
        <v>214552</v>
      </c>
      <c r="G97">
        <v>2.6383529411764699</v>
      </c>
      <c r="H97">
        <v>0.62</v>
      </c>
      <c r="I97">
        <v>7.93</v>
      </c>
      <c r="J97">
        <v>492.36799999999999</v>
      </c>
      <c r="K97">
        <v>1</v>
      </c>
      <c r="L97">
        <v>9</v>
      </c>
      <c r="M97">
        <v>3.1176470588235201</v>
      </c>
      <c r="N97">
        <v>3.5329999999999999</v>
      </c>
      <c r="O97">
        <v>5</v>
      </c>
      <c r="P97">
        <v>30.585000000000001</v>
      </c>
      <c r="Q97">
        <v>2</v>
      </c>
      <c r="R97">
        <v>8</v>
      </c>
      <c r="S97">
        <v>4.875</v>
      </c>
      <c r="T97">
        <v>3.4375</v>
      </c>
      <c r="U97">
        <v>4.5</v>
      </c>
      <c r="V97">
        <v>19768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44771.65</v>
      </c>
      <c r="AD97">
        <v>696.5</v>
      </c>
      <c r="AE97">
        <v>77473.118000000002</v>
      </c>
      <c r="AF97">
        <v>1991</v>
      </c>
      <c r="AG97">
        <v>2193.7600000000002</v>
      </c>
      <c r="AH97">
        <v>10.199999999999999</v>
      </c>
      <c r="AI97">
        <v>21612</v>
      </c>
      <c r="AJ97">
        <v>48639</v>
      </c>
      <c r="AK97">
        <v>2416822.63172499</v>
      </c>
      <c r="AL97">
        <v>6070.9</v>
      </c>
      <c r="AM97">
        <v>126.299999999999</v>
      </c>
      <c r="AN97">
        <v>0</v>
      </c>
      <c r="AO97">
        <v>841</v>
      </c>
      <c r="AP97">
        <v>103</v>
      </c>
      <c r="AQ97">
        <v>0</v>
      </c>
      <c r="AR97">
        <v>33</v>
      </c>
      <c r="AS97">
        <v>0</v>
      </c>
      <c r="AT97">
        <v>379.73331868834799</v>
      </c>
      <c r="AU97">
        <v>15309.1532108052</v>
      </c>
      <c r="AV97">
        <v>0.449922777203139</v>
      </c>
      <c r="AW97">
        <v>43.766056527665</v>
      </c>
    </row>
    <row r="98" spans="1:49">
      <c r="A98">
        <v>96</v>
      </c>
      <c r="B98" t="s">
        <v>431</v>
      </c>
      <c r="C98">
        <v>55201</v>
      </c>
      <c r="D98" t="s">
        <v>413</v>
      </c>
      <c r="E98">
        <v>783.78300000000002</v>
      </c>
      <c r="F98">
        <v>143234</v>
      </c>
      <c r="G98">
        <v>2.4223076923076898</v>
      </c>
      <c r="H98">
        <v>0.64</v>
      </c>
      <c r="I98">
        <v>7.94</v>
      </c>
      <c r="J98">
        <v>435.029</v>
      </c>
      <c r="K98">
        <v>2</v>
      </c>
      <c r="L98">
        <v>6</v>
      </c>
      <c r="M98">
        <v>2.6666666666666599</v>
      </c>
      <c r="N98">
        <v>3.75</v>
      </c>
      <c r="O98">
        <v>5</v>
      </c>
      <c r="P98">
        <v>67.341999999999999</v>
      </c>
      <c r="Q98">
        <v>4</v>
      </c>
      <c r="R98">
        <v>4</v>
      </c>
      <c r="S98">
        <v>4</v>
      </c>
      <c r="T98">
        <v>3.5</v>
      </c>
      <c r="U98">
        <v>4.9000000000000004</v>
      </c>
      <c r="V98">
        <v>0</v>
      </c>
      <c r="W98">
        <v>0</v>
      </c>
      <c r="X98">
        <v>0</v>
      </c>
      <c r="Y98">
        <v>0</v>
      </c>
      <c r="Z98">
        <v>0</v>
      </c>
      <c r="AA98">
        <v>330</v>
      </c>
      <c r="AB98">
        <v>1</v>
      </c>
      <c r="AC98">
        <v>141015.9</v>
      </c>
      <c r="AD98">
        <v>59.5</v>
      </c>
      <c r="AE98">
        <v>167873.63</v>
      </c>
      <c r="AF98">
        <v>1532</v>
      </c>
      <c r="AG98">
        <v>25135</v>
      </c>
      <c r="AH98">
        <v>434.1</v>
      </c>
      <c r="AI98">
        <v>187248</v>
      </c>
      <c r="AJ98">
        <v>40220</v>
      </c>
      <c r="AK98">
        <v>412625.56</v>
      </c>
      <c r="AL98">
        <v>10535.15</v>
      </c>
      <c r="AM98">
        <v>122.21</v>
      </c>
      <c r="AN98">
        <v>0</v>
      </c>
      <c r="AO98">
        <v>1840</v>
      </c>
      <c r="AP98">
        <v>375</v>
      </c>
      <c r="AQ98">
        <v>19036</v>
      </c>
      <c r="AR98">
        <v>65</v>
      </c>
      <c r="AS98">
        <v>0</v>
      </c>
      <c r="AT98">
        <v>112.489831572154</v>
      </c>
      <c r="AU98">
        <v>407.10528049243601</v>
      </c>
      <c r="AV98">
        <v>6.1073177015397301E-3</v>
      </c>
      <c r="AW98">
        <v>10.0945455497595</v>
      </c>
    </row>
    <row r="99" spans="1:49">
      <c r="A99">
        <v>97</v>
      </c>
      <c r="B99" t="s">
        <v>432</v>
      </c>
      <c r="C99">
        <v>55405</v>
      </c>
      <c r="D99" t="s">
        <v>413</v>
      </c>
      <c r="E99">
        <v>834.779</v>
      </c>
      <c r="F99">
        <v>142629</v>
      </c>
      <c r="G99">
        <v>2.5169230769230699</v>
      </c>
      <c r="H99">
        <v>0.6</v>
      </c>
      <c r="I99">
        <v>7.95</v>
      </c>
      <c r="J99">
        <v>432.06200000000001</v>
      </c>
      <c r="K99">
        <v>2</v>
      </c>
      <c r="L99">
        <v>6</v>
      </c>
      <c r="M99">
        <v>2.6153846153846101</v>
      </c>
      <c r="N99">
        <v>3.9089999999999998</v>
      </c>
      <c r="O99">
        <v>5</v>
      </c>
      <c r="P99">
        <v>19.146999999999998</v>
      </c>
      <c r="Q99">
        <v>2</v>
      </c>
      <c r="R99">
        <v>6</v>
      </c>
      <c r="S99">
        <v>3.5</v>
      </c>
      <c r="T99">
        <v>3</v>
      </c>
      <c r="U99">
        <v>5</v>
      </c>
      <c r="V99">
        <v>37317</v>
      </c>
      <c r="W99">
        <v>0</v>
      </c>
      <c r="X99">
        <v>3</v>
      </c>
      <c r="Y99">
        <v>0</v>
      </c>
      <c r="Z99">
        <v>0</v>
      </c>
      <c r="AA99">
        <v>60</v>
      </c>
      <c r="AB99">
        <v>1</v>
      </c>
      <c r="AC99">
        <v>47183.28</v>
      </c>
      <c r="AD99">
        <v>554932.5</v>
      </c>
      <c r="AE99">
        <v>117604.535</v>
      </c>
      <c r="AF99">
        <v>3049</v>
      </c>
      <c r="AG99">
        <v>12147.615</v>
      </c>
      <c r="AH99">
        <v>25.4</v>
      </c>
      <c r="AI99">
        <v>90622</v>
      </c>
      <c r="AJ99">
        <v>28857</v>
      </c>
      <c r="AK99">
        <v>205781.47279999999</v>
      </c>
      <c r="AL99">
        <v>10343.633</v>
      </c>
      <c r="AM99">
        <v>93.1</v>
      </c>
      <c r="AN99">
        <v>0</v>
      </c>
      <c r="AO99">
        <v>1809</v>
      </c>
      <c r="AP99">
        <v>310</v>
      </c>
      <c r="AQ99">
        <v>14478</v>
      </c>
      <c r="AR99">
        <v>86</v>
      </c>
      <c r="AS99">
        <v>0</v>
      </c>
      <c r="AT99">
        <v>287.75691542662901</v>
      </c>
      <c r="AU99">
        <v>1771.18524470531</v>
      </c>
      <c r="AV99">
        <v>1.1174728786574E-2</v>
      </c>
      <c r="AW99">
        <v>29.899734246189901</v>
      </c>
    </row>
    <row r="100" spans="1:49">
      <c r="A100">
        <v>98</v>
      </c>
      <c r="B100" t="s">
        <v>433</v>
      </c>
      <c r="C100">
        <v>55504</v>
      </c>
      <c r="D100" t="s">
        <v>413</v>
      </c>
      <c r="E100">
        <v>579.28099999999995</v>
      </c>
      <c r="F100">
        <v>73043</v>
      </c>
      <c r="G100">
        <v>2.5479166666666599</v>
      </c>
      <c r="H100">
        <v>0.45</v>
      </c>
      <c r="I100">
        <v>7.97</v>
      </c>
      <c r="J100">
        <v>273.387</v>
      </c>
      <c r="K100">
        <v>2</v>
      </c>
      <c r="L100">
        <v>6</v>
      </c>
      <c r="M100">
        <v>2.3333333333333299</v>
      </c>
      <c r="N100">
        <v>3.5</v>
      </c>
      <c r="O100">
        <v>4.468</v>
      </c>
      <c r="P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3555.06</v>
      </c>
      <c r="AD100">
        <v>406</v>
      </c>
      <c r="AE100">
        <v>1210</v>
      </c>
      <c r="AF100">
        <v>196</v>
      </c>
      <c r="AG100">
        <v>0</v>
      </c>
      <c r="AH100">
        <v>0</v>
      </c>
      <c r="AI100">
        <v>2562.509</v>
      </c>
      <c r="AJ100">
        <v>6546</v>
      </c>
      <c r="AK100">
        <v>7178.7</v>
      </c>
      <c r="AL100">
        <v>2063.6999999999998</v>
      </c>
      <c r="AM100">
        <v>67.499999999999901</v>
      </c>
      <c r="AN100">
        <v>0</v>
      </c>
      <c r="AO100">
        <v>109</v>
      </c>
      <c r="AP100">
        <v>45</v>
      </c>
      <c r="AQ100">
        <v>2003</v>
      </c>
      <c r="AR100">
        <v>6</v>
      </c>
      <c r="AS100">
        <v>0</v>
      </c>
      <c r="AT100">
        <v>452.22131580670498</v>
      </c>
      <c r="AU100">
        <v>7765.9358948110803</v>
      </c>
      <c r="AV100">
        <v>-0.29094720861691498</v>
      </c>
      <c r="AW100">
        <v>65.468116171883096</v>
      </c>
    </row>
    <row r="101" spans="1:49">
      <c r="A101">
        <v>99</v>
      </c>
      <c r="B101" t="s">
        <v>434</v>
      </c>
      <c r="C101">
        <v>53103</v>
      </c>
      <c r="D101" t="s">
        <v>360</v>
      </c>
      <c r="E101">
        <v>867.40799999999899</v>
      </c>
      <c r="F101">
        <v>201998</v>
      </c>
      <c r="G101">
        <v>2.4934444444444401</v>
      </c>
      <c r="H101">
        <v>0.54</v>
      </c>
      <c r="I101">
        <v>7.87</v>
      </c>
      <c r="J101">
        <v>308.31</v>
      </c>
      <c r="K101">
        <v>2</v>
      </c>
      <c r="L101">
        <v>8</v>
      </c>
      <c r="M101">
        <v>4.375</v>
      </c>
      <c r="N101">
        <v>3.5</v>
      </c>
      <c r="O101">
        <v>5</v>
      </c>
      <c r="P101">
        <v>112.292</v>
      </c>
      <c r="Q101">
        <v>2</v>
      </c>
      <c r="R101">
        <v>8</v>
      </c>
      <c r="S101">
        <v>4.875</v>
      </c>
      <c r="T101">
        <v>3.5</v>
      </c>
      <c r="U101">
        <v>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25456.661</v>
      </c>
      <c r="AD101">
        <v>5850</v>
      </c>
      <c r="AE101">
        <v>54578.632100000003</v>
      </c>
      <c r="AF101">
        <v>2606.4</v>
      </c>
      <c r="AG101">
        <v>1794</v>
      </c>
      <c r="AH101">
        <v>7.2</v>
      </c>
      <c r="AI101">
        <v>12097</v>
      </c>
      <c r="AJ101">
        <v>9959</v>
      </c>
      <c r="AK101">
        <v>5942.6699999999901</v>
      </c>
      <c r="AL101">
        <v>3551.5</v>
      </c>
      <c r="AM101">
        <v>112.299999999999</v>
      </c>
      <c r="AN101">
        <v>0</v>
      </c>
      <c r="AO101">
        <v>225</v>
      </c>
      <c r="AP101">
        <v>59</v>
      </c>
      <c r="AQ101">
        <v>1025</v>
      </c>
      <c r="AR101">
        <v>19</v>
      </c>
      <c r="AS101">
        <v>0</v>
      </c>
      <c r="AT101">
        <v>249.34832752436799</v>
      </c>
      <c r="AU101">
        <v>6361.8820608937604</v>
      </c>
      <c r="AV101">
        <v>0.75388371621472905</v>
      </c>
      <c r="AW101">
        <v>51.254349575280202</v>
      </c>
    </row>
    <row r="102" spans="1:49">
      <c r="A102">
        <v>100</v>
      </c>
      <c r="B102" t="s">
        <v>435</v>
      </c>
      <c r="C102">
        <v>52604</v>
      </c>
      <c r="D102" t="s">
        <v>387</v>
      </c>
      <c r="E102">
        <v>479.66199999999998</v>
      </c>
      <c r="F102">
        <v>36998</v>
      </c>
      <c r="J102">
        <v>0</v>
      </c>
      <c r="P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1200</v>
      </c>
      <c r="AD102">
        <v>4834.3500000000004</v>
      </c>
      <c r="AE102">
        <v>29206.35</v>
      </c>
      <c r="AF102">
        <v>3220</v>
      </c>
      <c r="AG102">
        <v>0</v>
      </c>
      <c r="AH102">
        <v>0</v>
      </c>
      <c r="AI102">
        <v>1546</v>
      </c>
      <c r="AJ102">
        <v>57929</v>
      </c>
      <c r="AK102">
        <v>40114.160000000003</v>
      </c>
      <c r="AL102">
        <v>6118</v>
      </c>
      <c r="AM102">
        <v>181.099999999999</v>
      </c>
      <c r="AN102">
        <v>0</v>
      </c>
      <c r="AO102">
        <v>405</v>
      </c>
      <c r="AP102">
        <v>50</v>
      </c>
      <c r="AQ102">
        <v>0</v>
      </c>
      <c r="AR102">
        <v>14</v>
      </c>
      <c r="AS102">
        <v>0</v>
      </c>
      <c r="AT102">
        <v>497.44920754000702</v>
      </c>
      <c r="AU102">
        <v>23092.084499236898</v>
      </c>
      <c r="AV102">
        <v>0.34767227073552098</v>
      </c>
      <c r="AW102">
        <v>154.391200077429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5809-8F4A-4E38-8B45-780F315B8B7E}">
  <dimension ref="A1:C25"/>
  <sheetViews>
    <sheetView workbookViewId="0">
      <selection activeCell="A4" sqref="A4"/>
    </sheetView>
  </sheetViews>
  <sheetFormatPr defaultRowHeight="15"/>
  <cols>
    <col min="1" max="3" width="26.42578125" customWidth="1"/>
    <col min="4" max="4" width="43.7109375" customWidth="1"/>
  </cols>
  <sheetData>
    <row r="1" spans="1:3" ht="18">
      <c r="A1" s="22" t="s">
        <v>436</v>
      </c>
      <c r="B1" s="22" t="s">
        <v>437</v>
      </c>
      <c r="C1" s="22" t="s">
        <v>438</v>
      </c>
    </row>
    <row r="2" spans="1:3" ht="18">
      <c r="A2" s="23" t="s">
        <v>439</v>
      </c>
      <c r="B2" s="23"/>
      <c r="C2" s="23">
        <v>2</v>
      </c>
    </row>
    <row r="3" spans="1:3" ht="18">
      <c r="A3" s="24" t="s">
        <v>440</v>
      </c>
      <c r="B3" s="24"/>
      <c r="C3" s="23">
        <v>2</v>
      </c>
    </row>
    <row r="4" spans="1:3" ht="18">
      <c r="A4" s="23" t="s">
        <v>441</v>
      </c>
      <c r="B4" s="23"/>
      <c r="C4" s="23">
        <v>2</v>
      </c>
    </row>
    <row r="5" spans="1:3" ht="18">
      <c r="A5" s="23" t="s">
        <v>442</v>
      </c>
      <c r="B5" s="23"/>
      <c r="C5" s="23">
        <v>2</v>
      </c>
    </row>
    <row r="6" spans="1:3" ht="18">
      <c r="A6" s="23" t="s">
        <v>443</v>
      </c>
      <c r="B6" s="23"/>
      <c r="C6" s="23">
        <v>2</v>
      </c>
    </row>
    <row r="7" spans="1:3" ht="18">
      <c r="A7" s="23" t="s">
        <v>444</v>
      </c>
      <c r="B7" s="23"/>
      <c r="C7" s="23">
        <v>2</v>
      </c>
    </row>
    <row r="8" spans="1:3" ht="18">
      <c r="A8" s="23" t="s">
        <v>445</v>
      </c>
      <c r="B8" s="23"/>
      <c r="C8" s="23">
        <v>2</v>
      </c>
    </row>
    <row r="9" spans="1:3" ht="18">
      <c r="A9" s="23" t="s">
        <v>446</v>
      </c>
      <c r="B9" s="23"/>
      <c r="C9" s="23">
        <v>2</v>
      </c>
    </row>
    <row r="10" spans="1:3" ht="18">
      <c r="A10" s="23" t="s">
        <v>447</v>
      </c>
      <c r="B10" s="23"/>
      <c r="C10" s="23">
        <v>2</v>
      </c>
    </row>
    <row r="11" spans="1:3" ht="18">
      <c r="A11" s="23" t="s">
        <v>448</v>
      </c>
      <c r="B11" s="23"/>
      <c r="C11" s="23">
        <v>2</v>
      </c>
    </row>
    <row r="12" spans="1:3" ht="18">
      <c r="A12" s="23" t="s">
        <v>449</v>
      </c>
      <c r="B12" s="23"/>
      <c r="C12" s="23">
        <v>2</v>
      </c>
    </row>
    <row r="13" spans="1:3" ht="18">
      <c r="A13" s="23" t="s">
        <v>450</v>
      </c>
      <c r="B13" s="23"/>
      <c r="C13" s="23">
        <v>2</v>
      </c>
    </row>
    <row r="14" spans="1:3" ht="18">
      <c r="A14" s="23" t="s">
        <v>451</v>
      </c>
      <c r="B14" s="23"/>
      <c r="C14" s="23">
        <v>2</v>
      </c>
    </row>
    <row r="15" spans="1:3" ht="18">
      <c r="A15" s="23" t="s">
        <v>452</v>
      </c>
      <c r="B15" s="23"/>
      <c r="C15" s="23">
        <v>2</v>
      </c>
    </row>
    <row r="16" spans="1:3" ht="18">
      <c r="A16" s="24" t="s">
        <v>453</v>
      </c>
      <c r="B16" s="24"/>
      <c r="C16" s="23">
        <v>2</v>
      </c>
    </row>
    <row r="17" spans="1:3" ht="18">
      <c r="A17" s="24" t="s">
        <v>454</v>
      </c>
      <c r="B17" s="24"/>
      <c r="C17" s="23">
        <v>2</v>
      </c>
    </row>
    <row r="18" spans="1:3" ht="18">
      <c r="A18" s="23" t="s">
        <v>455</v>
      </c>
      <c r="B18" s="23"/>
      <c r="C18" s="24">
        <v>4</v>
      </c>
    </row>
    <row r="19" spans="1:3" ht="18">
      <c r="A19" s="23" t="s">
        <v>456</v>
      </c>
      <c r="B19" s="23"/>
      <c r="C19" s="24">
        <v>4</v>
      </c>
    </row>
    <row r="20" spans="1:3" ht="18">
      <c r="A20" s="23" t="s">
        <v>457</v>
      </c>
      <c r="B20" s="23"/>
      <c r="C20" s="24">
        <v>4</v>
      </c>
    </row>
    <row r="21" spans="1:3" ht="18">
      <c r="A21" s="23" t="s">
        <v>458</v>
      </c>
      <c r="B21" s="23"/>
      <c r="C21" s="24">
        <v>4</v>
      </c>
    </row>
    <row r="22" spans="1:3" ht="18">
      <c r="A22" s="23" t="s">
        <v>459</v>
      </c>
      <c r="B22" s="23"/>
      <c r="C22" s="24">
        <v>4</v>
      </c>
    </row>
    <row r="23" spans="1:3" ht="18">
      <c r="A23" s="23" t="s">
        <v>460</v>
      </c>
      <c r="B23" s="23"/>
      <c r="C23" s="24">
        <v>4</v>
      </c>
    </row>
    <row r="24" spans="1:3" ht="18">
      <c r="A24" s="23" t="s">
        <v>461</v>
      </c>
      <c r="B24" s="23"/>
      <c r="C24" s="24">
        <v>4</v>
      </c>
    </row>
    <row r="25" spans="1:3" ht="18">
      <c r="A25" s="23" t="s">
        <v>462</v>
      </c>
      <c r="B25" s="23"/>
      <c r="C25" s="2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2DE4-87DA-41F4-8E17-CBD9490CD5BF}">
  <sheetPr codeName="Sheet1"/>
  <dimension ref="A1:E35"/>
  <sheetViews>
    <sheetView workbookViewId="0">
      <selection activeCell="B34" sqref="A22:B35"/>
    </sheetView>
  </sheetViews>
  <sheetFormatPr defaultRowHeight="15"/>
  <cols>
    <col min="1" max="1" width="50.42578125" customWidth="1"/>
    <col min="2" max="2" width="24.5703125" customWidth="1"/>
    <col min="3" max="3" width="25.7109375" customWidth="1"/>
    <col min="4" max="4" width="50.7109375" customWidth="1"/>
  </cols>
  <sheetData>
    <row r="1" spans="1:5" ht="67.5" customHeight="1">
      <c r="A1" s="26" t="s">
        <v>476</v>
      </c>
      <c r="B1" s="27" t="s">
        <v>477</v>
      </c>
      <c r="D1" t="s">
        <v>28</v>
      </c>
      <c r="E1">
        <v>60000</v>
      </c>
    </row>
    <row r="2" spans="1:5" ht="24">
      <c r="A2" s="12" t="s">
        <v>478</v>
      </c>
      <c r="B2" s="11" t="s">
        <v>479</v>
      </c>
    </row>
    <row r="3" spans="1:5" ht="24">
      <c r="A3" s="16" t="s">
        <v>480</v>
      </c>
      <c r="B3" s="15" t="s">
        <v>479</v>
      </c>
    </row>
    <row r="4" spans="1:5" ht="24">
      <c r="A4" s="16" t="s">
        <v>481</v>
      </c>
      <c r="B4" s="15" t="s">
        <v>479</v>
      </c>
    </row>
    <row r="5" spans="1:5" ht="24">
      <c r="A5" s="16" t="s">
        <v>482</v>
      </c>
      <c r="B5" s="15" t="s">
        <v>479</v>
      </c>
    </row>
    <row r="6" spans="1:5" ht="24">
      <c r="A6" s="16" t="s">
        <v>483</v>
      </c>
      <c r="B6" s="15" t="s">
        <v>479</v>
      </c>
    </row>
    <row r="7" spans="1:5" ht="24">
      <c r="A7" s="16" t="s">
        <v>484</v>
      </c>
      <c r="B7" s="15" t="s">
        <v>479</v>
      </c>
    </row>
    <row r="8" spans="1:5" ht="24">
      <c r="A8" s="16" t="s">
        <v>485</v>
      </c>
      <c r="B8" s="15">
        <v>500</v>
      </c>
    </row>
    <row r="9" spans="1:5" ht="24">
      <c r="A9" s="16" t="s">
        <v>486</v>
      </c>
      <c r="B9" s="15">
        <v>200</v>
      </c>
    </row>
    <row r="10" spans="1:5" ht="24">
      <c r="A10" s="16" t="s">
        <v>487</v>
      </c>
      <c r="B10" s="15" t="s">
        <v>479</v>
      </c>
    </row>
    <row r="11" spans="1:5" ht="24">
      <c r="A11" s="16" t="s">
        <v>488</v>
      </c>
      <c r="B11" s="15">
        <v>500</v>
      </c>
    </row>
    <row r="12" spans="1:5" ht="24">
      <c r="A12" s="16" t="s">
        <v>489</v>
      </c>
      <c r="B12" s="15" t="s">
        <v>479</v>
      </c>
    </row>
    <row r="13" spans="1:5" ht="24">
      <c r="A13" s="16" t="s">
        <v>490</v>
      </c>
      <c r="B13" s="15" t="s">
        <v>479</v>
      </c>
    </row>
    <row r="14" spans="1:5" ht="24">
      <c r="A14" s="16" t="s">
        <v>491</v>
      </c>
      <c r="B14" s="15" t="s">
        <v>479</v>
      </c>
    </row>
    <row r="15" spans="1:5" ht="24">
      <c r="A15" s="16" t="s">
        <v>492</v>
      </c>
      <c r="B15" s="15" t="s">
        <v>479</v>
      </c>
    </row>
    <row r="16" spans="1:5" ht="24">
      <c r="A16" s="16" t="s">
        <v>493</v>
      </c>
      <c r="B16" s="15" t="s">
        <v>479</v>
      </c>
    </row>
    <row r="17" spans="1:2" ht="24">
      <c r="A17" s="16" t="s">
        <v>494</v>
      </c>
      <c r="B17" s="15" t="s">
        <v>479</v>
      </c>
    </row>
    <row r="18" spans="1:2" ht="24">
      <c r="A18" s="16" t="s">
        <v>495</v>
      </c>
      <c r="B18" s="15" t="s">
        <v>479</v>
      </c>
    </row>
    <row r="19" spans="1:2" ht="24">
      <c r="A19" s="16" t="s">
        <v>496</v>
      </c>
      <c r="B19" s="28">
        <v>5000</v>
      </c>
    </row>
    <row r="20" spans="1:2" ht="24">
      <c r="A20" s="16" t="s">
        <v>497</v>
      </c>
      <c r="B20" s="15" t="s">
        <v>479</v>
      </c>
    </row>
    <row r="21" spans="1:2" ht="24">
      <c r="A21" s="16" t="s">
        <v>498</v>
      </c>
      <c r="B21" s="15" t="s">
        <v>479</v>
      </c>
    </row>
    <row r="22" spans="1:2" ht="24">
      <c r="A22" s="16" t="s">
        <v>499</v>
      </c>
      <c r="B22" s="15" t="s">
        <v>479</v>
      </c>
    </row>
    <row r="23" spans="1:2" ht="24">
      <c r="A23" s="16" t="s">
        <v>500</v>
      </c>
      <c r="B23" s="15" t="s">
        <v>479</v>
      </c>
    </row>
    <row r="24" spans="1:2" ht="24">
      <c r="A24" s="16" t="s">
        <v>501</v>
      </c>
      <c r="B24" s="28">
        <v>40000</v>
      </c>
    </row>
    <row r="25" spans="1:2" ht="24">
      <c r="A25" s="16" t="s">
        <v>502</v>
      </c>
      <c r="B25" s="15">
        <v>500</v>
      </c>
    </row>
    <row r="26" spans="1:2" ht="24">
      <c r="A26" s="16" t="s">
        <v>503</v>
      </c>
      <c r="B26" s="15">
        <v>500</v>
      </c>
    </row>
    <row r="27" spans="1:2" ht="24">
      <c r="A27" s="16" t="s">
        <v>504</v>
      </c>
      <c r="B27" s="15" t="s">
        <v>479</v>
      </c>
    </row>
    <row r="28" spans="1:2" ht="96" customHeight="1">
      <c r="A28" s="29" t="s">
        <v>505</v>
      </c>
      <c r="B28" s="15">
        <v>100</v>
      </c>
    </row>
    <row r="29" spans="1:2" ht="24">
      <c r="A29" s="16" t="s">
        <v>506</v>
      </c>
      <c r="B29" s="15" t="s">
        <v>479</v>
      </c>
    </row>
    <row r="30" spans="1:2" ht="24">
      <c r="A30" s="16" t="s">
        <v>507</v>
      </c>
      <c r="B30" s="28">
        <v>3000</v>
      </c>
    </row>
    <row r="31" spans="1:2" ht="24">
      <c r="A31" s="16" t="s">
        <v>508</v>
      </c>
      <c r="B31" s="15" t="s">
        <v>479</v>
      </c>
    </row>
    <row r="32" spans="1:2" ht="24">
      <c r="A32" s="16" t="s">
        <v>509</v>
      </c>
      <c r="B32" s="15" t="s">
        <v>479</v>
      </c>
    </row>
    <row r="33" spans="1:2" ht="24">
      <c r="A33" s="16" t="s">
        <v>510</v>
      </c>
      <c r="B33" s="15" t="s">
        <v>479</v>
      </c>
    </row>
    <row r="34" spans="1:2" ht="24">
      <c r="A34" s="25" t="s">
        <v>511</v>
      </c>
      <c r="B34" s="80" t="s">
        <v>479</v>
      </c>
    </row>
    <row r="35" spans="1:2" ht="24">
      <c r="A35" s="30" t="s">
        <v>512</v>
      </c>
      <c r="B35" s="81"/>
    </row>
  </sheetData>
  <mergeCells count="1">
    <mergeCell ref="B34:B3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72ABC7-433D-4735-84DB-C23540E4B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group_data_final</vt:lpstr>
      <vt:lpstr>ASSET</vt:lpstr>
      <vt:lpstr>ราคาแผนงานตัดหญ้า</vt:lpstr>
      <vt:lpstr>แผน68</vt:lpstr>
      <vt:lpstr>ราคาค่าบำรุง</vt:lpstr>
      <vt:lpstr>ระยะทาง</vt:lpstr>
      <vt:lpstr>input</vt:lpstr>
      <vt:lpstr>ปริมาณน้ำฝน</vt:lpstr>
      <vt:lpstr>ราคาต้นทุน (Asset)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Inthat Limkatanyoo</cp:lastModifiedBy>
  <cp:revision/>
  <dcterms:created xsi:type="dcterms:W3CDTF">2026-02-26T08:09:20Z</dcterms:created>
  <dcterms:modified xsi:type="dcterms:W3CDTF">2026-06-25T03:11:15Z</dcterms:modified>
  <cp:category/>
  <cp:contentStatus/>
</cp:coreProperties>
</file>