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racorpth-my.sharepoint.com/personal/inthat_l_infra-corp_co/Documents/rmms/WL/webapp/workload_webapp/data/"/>
    </mc:Choice>
  </mc:AlternateContent>
  <xr:revisionPtr revIDLastSave="2" documentId="8_{2F75D4AE-8D3F-4ED7-A34A-DE61C34C9AEB}" xr6:coauthVersionLast="47" xr6:coauthVersionMax="47" xr10:uidLastSave="{5071725F-C411-4AA2-8CD7-CE8B044DDC57}"/>
  <bookViews>
    <workbookView minimized="1" xWindow="735" yWindow="735" windowWidth="21600" windowHeight="11295" xr2:uid="{36FC6198-A717-441A-9C68-B59D74F0DB1F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Sheet1!$A$1:$I$207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7" i="1" l="1"/>
  <c r="E207" i="1" s="1"/>
  <c r="I207" i="1" s="1"/>
  <c r="C206" i="1"/>
  <c r="E206" i="1" s="1"/>
  <c r="I206" i="1" s="1"/>
  <c r="C205" i="1"/>
  <c r="E205" i="1" s="1"/>
  <c r="I205" i="1" s="1"/>
  <c r="C204" i="1"/>
  <c r="E204" i="1" s="1"/>
  <c r="I204" i="1" s="1"/>
  <c r="C203" i="1"/>
  <c r="E203" i="1" s="1"/>
  <c r="I203" i="1" s="1"/>
  <c r="C202" i="1"/>
  <c r="E202" i="1" s="1"/>
  <c r="I202" i="1" s="1"/>
  <c r="C201" i="1"/>
  <c r="E201" i="1" s="1"/>
  <c r="I201" i="1" s="1"/>
  <c r="C200" i="1"/>
  <c r="E200" i="1" s="1"/>
  <c r="I200" i="1" s="1"/>
  <c r="C199" i="1"/>
  <c r="E199" i="1" s="1"/>
  <c r="I199" i="1" s="1"/>
  <c r="C198" i="1"/>
  <c r="E198" i="1" s="1"/>
  <c r="I198" i="1" s="1"/>
  <c r="C197" i="1"/>
  <c r="E197" i="1" s="1"/>
  <c r="I197" i="1" s="1"/>
  <c r="C196" i="1"/>
  <c r="E196" i="1" s="1"/>
  <c r="I196" i="1" s="1"/>
  <c r="C195" i="1"/>
  <c r="E195" i="1" s="1"/>
  <c r="I195" i="1" s="1"/>
  <c r="C194" i="1"/>
  <c r="E194" i="1" s="1"/>
  <c r="I194" i="1" s="1"/>
  <c r="C193" i="1"/>
  <c r="E193" i="1" s="1"/>
  <c r="I193" i="1" s="1"/>
  <c r="C192" i="1"/>
  <c r="E192" i="1" s="1"/>
  <c r="I192" i="1" s="1"/>
  <c r="C191" i="1"/>
  <c r="E191" i="1" s="1"/>
  <c r="I191" i="1" s="1"/>
  <c r="C190" i="1"/>
  <c r="E190" i="1" s="1"/>
  <c r="I190" i="1" s="1"/>
  <c r="C189" i="1"/>
  <c r="E189" i="1" s="1"/>
  <c r="I189" i="1" s="1"/>
  <c r="C188" i="1"/>
  <c r="E188" i="1" s="1"/>
  <c r="I188" i="1" s="1"/>
  <c r="C187" i="1"/>
  <c r="E187" i="1" s="1"/>
  <c r="I187" i="1" s="1"/>
  <c r="C186" i="1"/>
  <c r="E186" i="1" s="1"/>
  <c r="I186" i="1" s="1"/>
  <c r="C185" i="1"/>
  <c r="E185" i="1" s="1"/>
  <c r="I185" i="1" s="1"/>
  <c r="C184" i="1"/>
  <c r="E184" i="1" s="1"/>
  <c r="I184" i="1" s="1"/>
  <c r="C183" i="1"/>
  <c r="E183" i="1" s="1"/>
  <c r="I183" i="1" s="1"/>
  <c r="C182" i="1"/>
  <c r="E182" i="1" s="1"/>
  <c r="I182" i="1" s="1"/>
  <c r="C181" i="1"/>
  <c r="E181" i="1" s="1"/>
  <c r="I181" i="1" s="1"/>
  <c r="C180" i="1"/>
  <c r="E180" i="1" s="1"/>
  <c r="I180" i="1" s="1"/>
  <c r="C179" i="1"/>
  <c r="E179" i="1" s="1"/>
  <c r="I179" i="1" s="1"/>
  <c r="C178" i="1"/>
  <c r="E178" i="1" s="1"/>
  <c r="I178" i="1" s="1"/>
  <c r="C177" i="1"/>
  <c r="E177" i="1" s="1"/>
  <c r="I177" i="1" s="1"/>
  <c r="C176" i="1"/>
  <c r="E176" i="1" s="1"/>
  <c r="I176" i="1" s="1"/>
  <c r="C175" i="1"/>
  <c r="E175" i="1" s="1"/>
  <c r="I175" i="1" s="1"/>
  <c r="C174" i="1"/>
  <c r="E174" i="1" s="1"/>
  <c r="I174" i="1" s="1"/>
  <c r="C173" i="1"/>
  <c r="E173" i="1" s="1"/>
  <c r="I173" i="1" s="1"/>
  <c r="C172" i="1"/>
  <c r="E172" i="1" s="1"/>
  <c r="I172" i="1" s="1"/>
  <c r="C171" i="1"/>
  <c r="E171" i="1" s="1"/>
  <c r="I171" i="1" s="1"/>
  <c r="C170" i="1"/>
  <c r="E170" i="1" s="1"/>
  <c r="I170" i="1" s="1"/>
  <c r="C169" i="1"/>
  <c r="E169" i="1" s="1"/>
  <c r="I169" i="1" s="1"/>
  <c r="C168" i="1"/>
  <c r="E168" i="1" s="1"/>
  <c r="I168" i="1" s="1"/>
  <c r="C167" i="1"/>
  <c r="E167" i="1" s="1"/>
  <c r="I167" i="1" s="1"/>
  <c r="C166" i="1"/>
  <c r="E166" i="1" s="1"/>
  <c r="I166" i="1" s="1"/>
  <c r="C165" i="1"/>
  <c r="E165" i="1" s="1"/>
  <c r="I165" i="1" s="1"/>
  <c r="C164" i="1"/>
  <c r="E164" i="1" s="1"/>
  <c r="I164" i="1" s="1"/>
  <c r="C163" i="1"/>
  <c r="E163" i="1" s="1"/>
  <c r="I163" i="1" s="1"/>
  <c r="C162" i="1"/>
  <c r="E162" i="1" s="1"/>
  <c r="I162" i="1" s="1"/>
  <c r="C161" i="1"/>
  <c r="E161" i="1" s="1"/>
  <c r="I161" i="1" s="1"/>
  <c r="C160" i="1"/>
  <c r="E160" i="1" s="1"/>
  <c r="I160" i="1" s="1"/>
  <c r="C159" i="1"/>
  <c r="E159" i="1" s="1"/>
  <c r="I159" i="1" s="1"/>
  <c r="C158" i="1"/>
  <c r="E158" i="1" s="1"/>
  <c r="I158" i="1" s="1"/>
  <c r="C157" i="1"/>
  <c r="E157" i="1" s="1"/>
  <c r="I157" i="1" s="1"/>
  <c r="C156" i="1"/>
  <c r="E156" i="1" s="1"/>
  <c r="I156" i="1" s="1"/>
  <c r="C155" i="1"/>
  <c r="E155" i="1" s="1"/>
  <c r="I155" i="1" s="1"/>
  <c r="C154" i="1"/>
  <c r="E154" i="1" s="1"/>
  <c r="I154" i="1" s="1"/>
  <c r="C153" i="1"/>
  <c r="E153" i="1" s="1"/>
  <c r="I153" i="1" s="1"/>
  <c r="C152" i="1"/>
  <c r="E152" i="1" s="1"/>
  <c r="I152" i="1" s="1"/>
  <c r="C151" i="1"/>
  <c r="E151" i="1" s="1"/>
  <c r="I151" i="1" s="1"/>
  <c r="C150" i="1"/>
  <c r="E150" i="1" s="1"/>
  <c r="I150" i="1" s="1"/>
  <c r="C149" i="1"/>
  <c r="E149" i="1" s="1"/>
  <c r="I149" i="1" s="1"/>
  <c r="C148" i="1"/>
  <c r="E148" i="1" s="1"/>
  <c r="I148" i="1" s="1"/>
  <c r="C147" i="1"/>
  <c r="E147" i="1" s="1"/>
  <c r="I147" i="1" s="1"/>
  <c r="C146" i="1"/>
  <c r="E146" i="1" s="1"/>
  <c r="I146" i="1" s="1"/>
  <c r="C145" i="1"/>
  <c r="E145" i="1" s="1"/>
  <c r="I145" i="1" s="1"/>
  <c r="C144" i="1"/>
  <c r="E144" i="1" s="1"/>
  <c r="I144" i="1" s="1"/>
  <c r="C143" i="1"/>
  <c r="E143" i="1" s="1"/>
  <c r="I143" i="1" s="1"/>
  <c r="C142" i="1"/>
  <c r="E142" i="1" s="1"/>
  <c r="I142" i="1" s="1"/>
  <c r="C141" i="1"/>
  <c r="E141" i="1" s="1"/>
  <c r="I141" i="1" s="1"/>
  <c r="C140" i="1"/>
  <c r="E140" i="1" s="1"/>
  <c r="I140" i="1" s="1"/>
  <c r="C139" i="1"/>
  <c r="E139" i="1" s="1"/>
  <c r="I139" i="1" s="1"/>
  <c r="C138" i="1"/>
  <c r="E138" i="1" s="1"/>
  <c r="I138" i="1" s="1"/>
  <c r="C137" i="1"/>
  <c r="E137" i="1" s="1"/>
  <c r="I137" i="1" s="1"/>
  <c r="C136" i="1"/>
  <c r="E136" i="1" s="1"/>
  <c r="I136" i="1" s="1"/>
  <c r="C135" i="1"/>
  <c r="E135" i="1" s="1"/>
  <c r="I135" i="1" s="1"/>
  <c r="C134" i="1"/>
  <c r="E134" i="1" s="1"/>
  <c r="I134" i="1" s="1"/>
  <c r="C133" i="1"/>
  <c r="E133" i="1" s="1"/>
  <c r="I133" i="1" s="1"/>
  <c r="C132" i="1"/>
  <c r="E132" i="1" s="1"/>
  <c r="I132" i="1" s="1"/>
  <c r="C131" i="1"/>
  <c r="E131" i="1" s="1"/>
  <c r="I131" i="1" s="1"/>
  <c r="C130" i="1"/>
  <c r="E130" i="1" s="1"/>
  <c r="I130" i="1" s="1"/>
  <c r="C129" i="1"/>
  <c r="E129" i="1" s="1"/>
  <c r="I129" i="1" s="1"/>
  <c r="C128" i="1"/>
  <c r="E128" i="1" s="1"/>
  <c r="I128" i="1" s="1"/>
  <c r="C127" i="1"/>
  <c r="E127" i="1" s="1"/>
  <c r="I127" i="1" s="1"/>
  <c r="C126" i="1"/>
  <c r="E126" i="1" s="1"/>
  <c r="I126" i="1" s="1"/>
  <c r="C125" i="1"/>
  <c r="E125" i="1" s="1"/>
  <c r="I125" i="1" s="1"/>
  <c r="C124" i="1"/>
  <c r="E124" i="1" s="1"/>
  <c r="I124" i="1" s="1"/>
  <c r="C123" i="1"/>
  <c r="E123" i="1" s="1"/>
  <c r="I123" i="1" s="1"/>
  <c r="C122" i="1"/>
  <c r="E122" i="1" s="1"/>
  <c r="I122" i="1" s="1"/>
  <c r="C121" i="1"/>
  <c r="E121" i="1" s="1"/>
  <c r="I121" i="1" s="1"/>
  <c r="C120" i="1"/>
  <c r="E120" i="1" s="1"/>
  <c r="I120" i="1" s="1"/>
  <c r="C119" i="1"/>
  <c r="E119" i="1" s="1"/>
  <c r="I119" i="1" s="1"/>
  <c r="C118" i="1"/>
  <c r="E118" i="1" s="1"/>
  <c r="I118" i="1" s="1"/>
  <c r="C117" i="1"/>
  <c r="E117" i="1" s="1"/>
  <c r="I117" i="1" s="1"/>
  <c r="C116" i="1"/>
  <c r="E116" i="1" s="1"/>
  <c r="I116" i="1" s="1"/>
  <c r="C115" i="1"/>
  <c r="E115" i="1" s="1"/>
  <c r="I115" i="1" s="1"/>
  <c r="C114" i="1"/>
  <c r="E114" i="1" s="1"/>
  <c r="I114" i="1" s="1"/>
  <c r="C113" i="1"/>
  <c r="E113" i="1" s="1"/>
  <c r="I113" i="1" s="1"/>
  <c r="C112" i="1"/>
  <c r="E112" i="1" s="1"/>
  <c r="I112" i="1" s="1"/>
  <c r="C111" i="1"/>
  <c r="E111" i="1" s="1"/>
  <c r="I111" i="1" s="1"/>
  <c r="C110" i="1"/>
  <c r="E110" i="1" s="1"/>
  <c r="I110" i="1" s="1"/>
  <c r="C109" i="1"/>
  <c r="E109" i="1" s="1"/>
  <c r="I109" i="1" s="1"/>
  <c r="C108" i="1"/>
  <c r="E108" i="1" s="1"/>
  <c r="I108" i="1" s="1"/>
  <c r="C107" i="1"/>
  <c r="E107" i="1" s="1"/>
  <c r="I107" i="1" s="1"/>
  <c r="C106" i="1"/>
  <c r="E106" i="1" s="1"/>
  <c r="I106" i="1" s="1"/>
  <c r="C105" i="1"/>
  <c r="E105" i="1" s="1"/>
  <c r="I105" i="1" s="1"/>
  <c r="C104" i="1"/>
  <c r="E104" i="1" s="1"/>
  <c r="I104" i="1" s="1"/>
  <c r="C103" i="1"/>
  <c r="E103" i="1" s="1"/>
  <c r="I103" i="1" s="1"/>
  <c r="C102" i="1"/>
  <c r="E102" i="1" s="1"/>
  <c r="I102" i="1" s="1"/>
  <c r="C101" i="1"/>
  <c r="E101" i="1" s="1"/>
  <c r="I101" i="1" s="1"/>
  <c r="C100" i="1"/>
  <c r="E100" i="1" s="1"/>
  <c r="I100" i="1" s="1"/>
  <c r="C99" i="1"/>
  <c r="E99" i="1" s="1"/>
  <c r="I99" i="1" s="1"/>
  <c r="C98" i="1"/>
  <c r="E98" i="1" s="1"/>
  <c r="I98" i="1" s="1"/>
  <c r="C97" i="1"/>
  <c r="E97" i="1" s="1"/>
  <c r="I97" i="1" s="1"/>
  <c r="C96" i="1"/>
  <c r="E96" i="1" s="1"/>
  <c r="I96" i="1" s="1"/>
  <c r="C95" i="1"/>
  <c r="E95" i="1" s="1"/>
  <c r="I95" i="1" s="1"/>
  <c r="C94" i="1"/>
  <c r="E94" i="1" s="1"/>
  <c r="I94" i="1" s="1"/>
  <c r="C93" i="1"/>
  <c r="E93" i="1" s="1"/>
  <c r="I93" i="1" s="1"/>
  <c r="C92" i="1"/>
  <c r="E92" i="1" s="1"/>
  <c r="I92" i="1" s="1"/>
  <c r="C91" i="1"/>
  <c r="E91" i="1" s="1"/>
  <c r="I91" i="1" s="1"/>
  <c r="C90" i="1"/>
  <c r="E90" i="1" s="1"/>
  <c r="I90" i="1" s="1"/>
  <c r="C89" i="1"/>
  <c r="E89" i="1" s="1"/>
  <c r="I89" i="1" s="1"/>
  <c r="C88" i="1"/>
  <c r="E88" i="1" s="1"/>
  <c r="I88" i="1" s="1"/>
  <c r="C87" i="1"/>
  <c r="E87" i="1" s="1"/>
  <c r="I87" i="1" s="1"/>
  <c r="C86" i="1"/>
  <c r="E86" i="1" s="1"/>
  <c r="I86" i="1" s="1"/>
  <c r="C85" i="1"/>
  <c r="E85" i="1" s="1"/>
  <c r="I85" i="1" s="1"/>
  <c r="C84" i="1"/>
  <c r="E84" i="1" s="1"/>
  <c r="I84" i="1" s="1"/>
  <c r="C83" i="1"/>
  <c r="E83" i="1" s="1"/>
  <c r="I83" i="1" s="1"/>
  <c r="C82" i="1"/>
  <c r="E82" i="1" s="1"/>
  <c r="I82" i="1" s="1"/>
  <c r="C81" i="1"/>
  <c r="E81" i="1" s="1"/>
  <c r="I81" i="1" s="1"/>
  <c r="C80" i="1"/>
  <c r="E80" i="1" s="1"/>
  <c r="I80" i="1" s="1"/>
  <c r="C79" i="1"/>
  <c r="E79" i="1" s="1"/>
  <c r="I79" i="1" s="1"/>
  <c r="C78" i="1"/>
  <c r="E78" i="1" s="1"/>
  <c r="I78" i="1" s="1"/>
  <c r="C77" i="1"/>
  <c r="E77" i="1" s="1"/>
  <c r="I77" i="1" s="1"/>
  <c r="C76" i="1"/>
  <c r="E76" i="1" s="1"/>
  <c r="I76" i="1" s="1"/>
  <c r="C75" i="1"/>
  <c r="E75" i="1" s="1"/>
  <c r="I75" i="1" s="1"/>
  <c r="C74" i="1"/>
  <c r="E74" i="1" s="1"/>
  <c r="I74" i="1" s="1"/>
  <c r="C73" i="1"/>
  <c r="E73" i="1" s="1"/>
  <c r="I73" i="1" s="1"/>
  <c r="C72" i="1"/>
  <c r="E72" i="1" s="1"/>
  <c r="I72" i="1" s="1"/>
  <c r="C71" i="1"/>
  <c r="E71" i="1" s="1"/>
  <c r="I71" i="1" s="1"/>
  <c r="C70" i="1"/>
  <c r="E70" i="1" s="1"/>
  <c r="I70" i="1" s="1"/>
  <c r="C69" i="1"/>
  <c r="E69" i="1" s="1"/>
  <c r="I69" i="1" s="1"/>
  <c r="C68" i="1"/>
  <c r="E68" i="1" s="1"/>
  <c r="I68" i="1" s="1"/>
  <c r="C67" i="1"/>
  <c r="E67" i="1" s="1"/>
  <c r="I67" i="1" s="1"/>
  <c r="C66" i="1"/>
  <c r="E66" i="1" s="1"/>
  <c r="I66" i="1" s="1"/>
  <c r="C65" i="1"/>
  <c r="E65" i="1" s="1"/>
  <c r="I65" i="1" s="1"/>
  <c r="C64" i="1"/>
  <c r="E64" i="1" s="1"/>
  <c r="I64" i="1" s="1"/>
  <c r="C63" i="1"/>
  <c r="E63" i="1" s="1"/>
  <c r="I63" i="1" s="1"/>
  <c r="C62" i="1"/>
  <c r="E62" i="1" s="1"/>
  <c r="I62" i="1" s="1"/>
  <c r="C61" i="1"/>
  <c r="E61" i="1" s="1"/>
  <c r="I61" i="1" s="1"/>
  <c r="C60" i="1"/>
  <c r="E60" i="1" s="1"/>
  <c r="I60" i="1" s="1"/>
  <c r="C59" i="1"/>
  <c r="E59" i="1" s="1"/>
  <c r="I59" i="1" s="1"/>
  <c r="C58" i="1"/>
  <c r="E58" i="1" s="1"/>
  <c r="I58" i="1" s="1"/>
  <c r="C57" i="1"/>
  <c r="E57" i="1" s="1"/>
  <c r="I57" i="1" s="1"/>
  <c r="C56" i="1"/>
  <c r="E56" i="1" s="1"/>
  <c r="I56" i="1" s="1"/>
  <c r="C55" i="1"/>
  <c r="E55" i="1" s="1"/>
  <c r="I55" i="1" s="1"/>
  <c r="C54" i="1"/>
  <c r="E54" i="1" s="1"/>
  <c r="I54" i="1" s="1"/>
  <c r="C53" i="1"/>
  <c r="E53" i="1" s="1"/>
  <c r="I53" i="1" s="1"/>
  <c r="C52" i="1"/>
  <c r="E52" i="1" s="1"/>
  <c r="I52" i="1" s="1"/>
  <c r="C51" i="1"/>
  <c r="E51" i="1" s="1"/>
  <c r="I51" i="1" s="1"/>
  <c r="C50" i="1"/>
  <c r="E50" i="1" s="1"/>
  <c r="I50" i="1" s="1"/>
  <c r="C49" i="1"/>
  <c r="E49" i="1" s="1"/>
  <c r="I49" i="1" s="1"/>
  <c r="C48" i="1"/>
  <c r="E48" i="1" s="1"/>
  <c r="I48" i="1" s="1"/>
  <c r="C47" i="1"/>
  <c r="E47" i="1" s="1"/>
  <c r="I47" i="1" s="1"/>
  <c r="C46" i="1"/>
  <c r="E46" i="1" s="1"/>
  <c r="I46" i="1" s="1"/>
  <c r="C45" i="1"/>
  <c r="E45" i="1" s="1"/>
  <c r="I45" i="1" s="1"/>
  <c r="C44" i="1"/>
  <c r="E44" i="1" s="1"/>
  <c r="I44" i="1" s="1"/>
  <c r="C43" i="1"/>
  <c r="E43" i="1" s="1"/>
  <c r="I43" i="1" s="1"/>
  <c r="C42" i="1"/>
  <c r="E42" i="1" s="1"/>
  <c r="I42" i="1" s="1"/>
  <c r="C41" i="1"/>
  <c r="E41" i="1" s="1"/>
  <c r="I41" i="1" s="1"/>
  <c r="C40" i="1"/>
  <c r="E40" i="1" s="1"/>
  <c r="I40" i="1" s="1"/>
  <c r="C39" i="1"/>
  <c r="E39" i="1" s="1"/>
  <c r="I39" i="1" s="1"/>
  <c r="C38" i="1"/>
  <c r="E38" i="1" s="1"/>
  <c r="I38" i="1" s="1"/>
  <c r="C37" i="1"/>
  <c r="E37" i="1" s="1"/>
  <c r="I37" i="1" s="1"/>
  <c r="C36" i="1"/>
  <c r="E36" i="1" s="1"/>
  <c r="I36" i="1" s="1"/>
  <c r="C35" i="1"/>
  <c r="E35" i="1" s="1"/>
  <c r="I35" i="1" s="1"/>
  <c r="C34" i="1"/>
  <c r="E34" i="1" s="1"/>
  <c r="I34" i="1" s="1"/>
  <c r="C33" i="1"/>
  <c r="E33" i="1" s="1"/>
  <c r="I33" i="1" s="1"/>
  <c r="C32" i="1"/>
  <c r="E32" i="1" s="1"/>
  <c r="I32" i="1" s="1"/>
  <c r="C31" i="1"/>
  <c r="E31" i="1" s="1"/>
  <c r="I31" i="1" s="1"/>
  <c r="C30" i="1"/>
  <c r="E30" i="1" s="1"/>
  <c r="I30" i="1" s="1"/>
  <c r="C29" i="1"/>
  <c r="E29" i="1" s="1"/>
  <c r="I29" i="1" s="1"/>
  <c r="C28" i="1"/>
  <c r="E28" i="1" s="1"/>
  <c r="I28" i="1" s="1"/>
  <c r="C27" i="1"/>
  <c r="E27" i="1" s="1"/>
  <c r="I27" i="1" s="1"/>
  <c r="C26" i="1"/>
  <c r="E26" i="1" s="1"/>
  <c r="I26" i="1" s="1"/>
  <c r="C25" i="1"/>
  <c r="E25" i="1" s="1"/>
  <c r="I25" i="1" s="1"/>
  <c r="C24" i="1"/>
  <c r="E24" i="1" s="1"/>
  <c r="I24" i="1" s="1"/>
  <c r="C23" i="1"/>
  <c r="E23" i="1" s="1"/>
  <c r="I23" i="1" s="1"/>
  <c r="C22" i="1"/>
  <c r="E22" i="1" s="1"/>
  <c r="I22" i="1" s="1"/>
  <c r="C21" i="1"/>
  <c r="E21" i="1" s="1"/>
  <c r="I21" i="1" s="1"/>
  <c r="C20" i="1"/>
  <c r="E20" i="1" s="1"/>
  <c r="I20" i="1" s="1"/>
  <c r="C19" i="1"/>
  <c r="E19" i="1" s="1"/>
  <c r="I19" i="1" s="1"/>
  <c r="C18" i="1"/>
  <c r="E18" i="1" s="1"/>
  <c r="I18" i="1" s="1"/>
  <c r="C17" i="1"/>
  <c r="E17" i="1" s="1"/>
  <c r="I17" i="1" s="1"/>
  <c r="C16" i="1"/>
  <c r="E16" i="1" s="1"/>
  <c r="I16" i="1" s="1"/>
  <c r="C15" i="1"/>
  <c r="E15" i="1" s="1"/>
  <c r="I15" i="1" s="1"/>
  <c r="C14" i="1"/>
  <c r="E14" i="1" s="1"/>
  <c r="I14" i="1" s="1"/>
  <c r="C13" i="1"/>
  <c r="E13" i="1" s="1"/>
  <c r="I13" i="1" s="1"/>
  <c r="C12" i="1"/>
  <c r="E12" i="1" s="1"/>
  <c r="I12" i="1" s="1"/>
  <c r="C11" i="1"/>
  <c r="E11" i="1" s="1"/>
  <c r="I11" i="1" s="1"/>
  <c r="C10" i="1"/>
  <c r="E10" i="1" s="1"/>
  <c r="I10" i="1" s="1"/>
  <c r="C9" i="1"/>
  <c r="E9" i="1" s="1"/>
  <c r="I9" i="1" s="1"/>
  <c r="C8" i="1"/>
  <c r="E8" i="1" s="1"/>
  <c r="I8" i="1" s="1"/>
  <c r="C7" i="1"/>
  <c r="E7" i="1" s="1"/>
  <c r="I7" i="1" s="1"/>
  <c r="C6" i="1"/>
  <c r="E6" i="1" s="1"/>
  <c r="I6" i="1" s="1"/>
  <c r="C5" i="1"/>
  <c r="E5" i="1" s="1"/>
  <c r="I5" i="1" s="1"/>
  <c r="C4" i="1"/>
  <c r="E4" i="1" s="1"/>
  <c r="I4" i="1" s="1"/>
  <c r="C3" i="1"/>
  <c r="E3" i="1" s="1"/>
  <c r="I3" i="1" s="1"/>
  <c r="C2" i="1"/>
  <c r="E2" i="1" s="1"/>
  <c r="I2" i="1" s="1"/>
</calcChain>
</file>

<file path=xl/sharedStrings.xml><?xml version="1.0" encoding="utf-8"?>
<sst xmlns="http://schemas.openxmlformats.org/spreadsheetml/2006/main" count="215" uniqueCount="113">
  <si>
    <t>budgetyear</t>
  </si>
  <si>
    <t>deptcode</t>
  </si>
  <si>
    <t>deptcode_3</t>
  </si>
  <si>
    <t>แขวง</t>
  </si>
  <si>
    <t>length_to_2</t>
  </si>
  <si>
    <t>ผลรวมปริมาณงาน</t>
  </si>
  <si>
    <t>รวมงบประมาณทั้งหมด</t>
  </si>
  <si>
    <t>unit cost ต่อพื้นที่</t>
  </si>
  <si>
    <t>unit cost ต่อกม.</t>
  </si>
  <si>
    <t>แขวงทางหลวงเชียงรายที่ 1</t>
  </si>
  <si>
    <t>แขวงทางหลวงกาญจนบุรี</t>
  </si>
  <si>
    <t>แขวงทางหลวงนครศรีธรรมราชที่ 1</t>
  </si>
  <si>
    <t>แขวงทางหลวงประจวบคีรีขันธ์ (หัวหิน)</t>
  </si>
  <si>
    <t>แขวงทางหลวงขอนแก่นที่ 1</t>
  </si>
  <si>
    <t>แขวงทางหลวงมหาสารคาม</t>
  </si>
  <si>
    <t>แขวงทางหลวงนราธิวาส</t>
  </si>
  <si>
    <t>แขวงทางหลวงบุรีรัมย์</t>
  </si>
  <si>
    <t>แขวงทางหลวงชลบุรีที่ 1</t>
  </si>
  <si>
    <t>แขวงทางหลวงนครพนม</t>
  </si>
  <si>
    <t>แขวงทางหลวงระยอง</t>
  </si>
  <si>
    <t>แขวงทางหลวงพิจิตร</t>
  </si>
  <si>
    <t>แขวงทางหลวงนครสวรรค์ที่ 1</t>
  </si>
  <si>
    <t>แขวงทางหลวงนครราชสีมาที่ 3</t>
  </si>
  <si>
    <t>แขวงทางหลวงนครราชสีมาที่ 1</t>
  </si>
  <si>
    <t>แขวงทางหลวงสุโขทัย</t>
  </si>
  <si>
    <t>แขวงทางหลวงสุราษฏร์ธานีที่ 1 (พุนพิน)</t>
  </si>
  <si>
    <t>แขวงทางหลวงเชียงรายที่ 2</t>
  </si>
  <si>
    <t>แขวงทางหลวงขอนแก่นที่ 2 (ชุมแพ)</t>
  </si>
  <si>
    <t>แขวงทางหลวงชัยนาท</t>
  </si>
  <si>
    <t>แขวงทางหลวงเชียงใหม่ 2</t>
  </si>
  <si>
    <t>แขวงทางหลวงแพร่</t>
  </si>
  <si>
    <t>แขวงทางหลวงสุพรรณบุรีที่ 1</t>
  </si>
  <si>
    <t>แขวงทางหลวงอยุธยา</t>
  </si>
  <si>
    <t>แขวงทางหลวงอุดรธานีที่ 1</t>
  </si>
  <si>
    <t>แขวงทางหลวงน่านที่ 1</t>
  </si>
  <si>
    <t>แขวงทางหลวงสระแก้ว (วัฒนานคร)</t>
  </si>
  <si>
    <t>แขวงทางหลวงร้อยเอ็ด</t>
  </si>
  <si>
    <t>แขวงทางหลวงลำปางที่ 1</t>
  </si>
  <si>
    <t>แขวงทางหลวงสระบุรี</t>
  </si>
  <si>
    <t>แขวงทางหลวงชุมพร</t>
  </si>
  <si>
    <t>แขวงทางหลวงสุรินทร์</t>
  </si>
  <si>
    <t>แขวงทางหลวงชลบุรีที่ 2</t>
  </si>
  <si>
    <t>แขวงทางหลวงสมุทรสาคร</t>
  </si>
  <si>
    <t>แขวงทางหลวงลพบุรีที่ 1</t>
  </si>
  <si>
    <t>แขวงทางหลวงเพชรบูรณ์ที่ 1</t>
  </si>
  <si>
    <t>แขวงทางหลวงเลยที่ 2 (ด่านซ้าย)</t>
  </si>
  <si>
    <t>แขวงทางหลวงขอนแก่นที่ 3 (บ้านไผ่)</t>
  </si>
  <si>
    <t>แขวงทางหลวงลพบุรีที่ 2 (ลำนารายณ์)</t>
  </si>
  <si>
    <t>แขวงทางหลวงนครราชสีมาที่ 2</t>
  </si>
  <si>
    <t>แขวงทางหลวงอ่างทอง</t>
  </si>
  <si>
    <t>แขวงทางหลวงหนองคาย</t>
  </si>
  <si>
    <t>แขวงทางหลวงสุราษฎร์ธานีที่ 3 (เวียงสระ)</t>
  </si>
  <si>
    <t>แขวงทางหลวงอุตรดิตถ์ที่ 2</t>
  </si>
  <si>
    <t>แขวงทางหลวงปราจีนบุรี</t>
  </si>
  <si>
    <t>แขวงทางหลวงปัตตานี</t>
  </si>
  <si>
    <t>แขวงทางหลวงพิษณุโลกที่ 2 (วังทอง)</t>
  </si>
  <si>
    <t>แขวงทางหลวงสุพรรณบุรีที่ 2 (อู่ทอง)</t>
  </si>
  <si>
    <t>แขวงทางหลวงเลยที่ 1</t>
  </si>
  <si>
    <t>แขวงทางหลวงอุดรธานีที่ 2 (หนองหาน)</t>
  </si>
  <si>
    <t>แขวงทางหลวงอุตรดิตถ์ที่ 1</t>
  </si>
  <si>
    <t>แขวงทางหลวงพิษณุโลกที่ 1</t>
  </si>
  <si>
    <t>แขวงทางหลวงนครสวรรค์ที่ 2 (ตากฟ้า)</t>
  </si>
  <si>
    <t>แขวงทางหลวงชัยภูมิ</t>
  </si>
  <si>
    <t>แขวงทางหลวงเชียงใหม่ 1</t>
  </si>
  <si>
    <t>แขวงทางหลวงนครศรีธรรมราชที่ 2 (ทุ่งสง)</t>
  </si>
  <si>
    <t>แขวงทางหลวงกาฬสินธุ์</t>
  </si>
  <si>
    <t>แขวงทางหลวงตากที่ 2 (แม่สอด)</t>
  </si>
  <si>
    <t>แขวงทางหลวงปทุมธานี</t>
  </si>
  <si>
    <t>แขวงทางหลวงกำแพงเพชร</t>
  </si>
  <si>
    <t>แขวงทางหลวงอำนาจเจริญ</t>
  </si>
  <si>
    <t>แขวงทางหลวงสุราษฎ์ธานีที่ 2 (กาญจนดิษฐ์)</t>
  </si>
  <si>
    <t>แขวงทางหลวงตราด</t>
  </si>
  <si>
    <t>แขวงทางหลวงอุบลราชธานีที่ 1</t>
  </si>
  <si>
    <t>แขวงทางหลวงนครนายก</t>
  </si>
  <si>
    <t>แขวงทางหลวงอุทัยธานี</t>
  </si>
  <si>
    <t>แขวงทางหลวงมุกดาหาร</t>
  </si>
  <si>
    <t>แขวงทางหลวงนครปฐม</t>
  </si>
  <si>
    <t>แขวงทางหลวงพังงา</t>
  </si>
  <si>
    <t>แขวงทางหลวงยโสธร</t>
  </si>
  <si>
    <t>แขวงทางหลวงตรัง</t>
  </si>
  <si>
    <t>แขวงทางหลวงสตูล</t>
  </si>
  <si>
    <t>แขวงทางหลวงราชบุรี</t>
  </si>
  <si>
    <t>แขวงทางหลวงเพชรบูรณ์ที่ 2 (บึงสามพัน)</t>
  </si>
  <si>
    <t>แขวงทางหลวงสมุทรสงคราม</t>
  </si>
  <si>
    <t>แขวงทางหลวงสกลนครที่ 1</t>
  </si>
  <si>
    <t>แขวงทางหลวงสิงห์บุรี</t>
  </si>
  <si>
    <t>แขวงทางหลวงลำปางที่ 2</t>
  </si>
  <si>
    <t>แขวงทางหลวงกระบี่</t>
  </si>
  <si>
    <t>แขวงทางหลวงพะเยา</t>
  </si>
  <si>
    <t>แขวงทางหลวงฉะเชิงเทรา</t>
  </si>
  <si>
    <t>แขวงทางหลวงพัทลุง</t>
  </si>
  <si>
    <t>แขวงทางหลวงจันทบุรี</t>
  </si>
  <si>
    <t>แขวงทางหลวงเพชรบุรี</t>
  </si>
  <si>
    <t>แขวงทางหลวงแม่ฮ่องสอน</t>
  </si>
  <si>
    <t>แขวงทางหลวงลำพูน</t>
  </si>
  <si>
    <t>แขวงทางหลวงตากที่ 1</t>
  </si>
  <si>
    <t>แขวงทางหลวงน่านที่ 2</t>
  </si>
  <si>
    <t>แขวงทางหลวงกรุงเทพ</t>
  </si>
  <si>
    <t>แขวงทางหลวงยะลา</t>
  </si>
  <si>
    <t>แขวงทางหลวงระนอง</t>
  </si>
  <si>
    <t>แขวงทางหลวงหนองบัวลำภู</t>
  </si>
  <si>
    <t>แขวงทางหลวงสงขลาที่ 2 (นาหม่อม)</t>
  </si>
  <si>
    <t>แขวงทางหลวงสมุทรปราการ</t>
  </si>
  <si>
    <t>แขวงทางหลวงภูเก็ต</t>
  </si>
  <si>
    <t>แขวงทางหลวงศรีสะเกษที่ 2</t>
  </si>
  <si>
    <t>แขวงทางหลวงสกลนครที่ 2 (สว่างแดนดิน)</t>
  </si>
  <si>
    <t>แขวงทางหลวงบึงกาฬ</t>
  </si>
  <si>
    <t>แขวงทางหลวงธนบุรี</t>
  </si>
  <si>
    <t>แขวงทางหลวงสงขลาที่ 1</t>
  </si>
  <si>
    <t>แขวงทางหลวงศรีสะเกษที่ 1</t>
  </si>
  <si>
    <t>แขวงทางหลวงอุบลราชธานีที่ 2</t>
  </si>
  <si>
    <t>แขวงทางหลวงนนทบุรี</t>
  </si>
  <si>
    <t>แขวงทางหลวงเชียงใหม่ที่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</si>
</sst>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fracorpth-my.sharepoint.com/personal/inthat_l_infra-corp_co/Documents/rmms/WL/webapp/workload_webapp/data/group_data_final.xlsx" TargetMode="External"/><Relationship Id="rId1" Type="http://schemas.openxmlformats.org/officeDocument/2006/relationships/externalLinkPath" Target="group_data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up_data_final"/>
      <sheetName val="ASSET"/>
      <sheetName val="ราคาแผนงานตัดหญ้า"/>
      <sheetName val="แผน68"/>
      <sheetName val="ราคาค่าบำรุง"/>
      <sheetName val="ระยะทาง"/>
      <sheetName val="input"/>
      <sheetName val="ปริมาณน้ำฝน"/>
      <sheetName val="ราคาต้นทุน (Asset)"/>
    </sheetNames>
    <sheetDataSet>
      <sheetData sheetId="0">
        <row r="1">
          <cell r="C1" t="str">
            <v>depot_code</v>
          </cell>
          <cell r="D1" t="str">
            <v>length_to2</v>
          </cell>
        </row>
        <row r="2">
          <cell r="C2">
            <v>521</v>
          </cell>
          <cell r="D2">
            <v>760.61199999999997</v>
          </cell>
        </row>
        <row r="3">
          <cell r="C3">
            <v>522</v>
          </cell>
          <cell r="D3">
            <v>922.12800000000004</v>
          </cell>
        </row>
        <row r="4">
          <cell r="C4">
            <v>527</v>
          </cell>
          <cell r="D4">
            <v>757.51199999999994</v>
          </cell>
        </row>
        <row r="5">
          <cell r="C5">
            <v>533</v>
          </cell>
          <cell r="D5">
            <v>1016.413</v>
          </cell>
        </row>
        <row r="6">
          <cell r="C6">
            <v>537</v>
          </cell>
          <cell r="D6">
            <v>1000.818</v>
          </cell>
        </row>
        <row r="7">
          <cell r="C7">
            <v>338</v>
          </cell>
          <cell r="D7">
            <v>711.86900000000003</v>
          </cell>
        </row>
        <row r="8">
          <cell r="C8">
            <v>551</v>
          </cell>
          <cell r="D8">
            <v>991.51599999999996</v>
          </cell>
        </row>
        <row r="9">
          <cell r="C9">
            <v>552</v>
          </cell>
          <cell r="D9">
            <v>780.41499999999996</v>
          </cell>
        </row>
        <row r="10">
          <cell r="C10">
            <v>554</v>
          </cell>
          <cell r="D10">
            <v>813.49900000000002</v>
          </cell>
        </row>
        <row r="11">
          <cell r="C11">
            <v>555</v>
          </cell>
          <cell r="D11">
            <v>575.20000000000005</v>
          </cell>
        </row>
        <row r="12">
          <cell r="C12">
            <v>531</v>
          </cell>
          <cell r="D12">
            <v>868.16399999999999</v>
          </cell>
        </row>
        <row r="13">
          <cell r="C13">
            <v>526</v>
          </cell>
          <cell r="D13">
            <v>621.27700000000004</v>
          </cell>
        </row>
        <row r="14">
          <cell r="C14">
            <v>323</v>
          </cell>
          <cell r="D14">
            <v>752.71199999999999</v>
          </cell>
        </row>
        <row r="15">
          <cell r="C15">
            <v>411</v>
          </cell>
          <cell r="D15">
            <v>566.44399999999996</v>
          </cell>
        </row>
        <row r="16">
          <cell r="C16">
            <v>444</v>
          </cell>
          <cell r="D16">
            <v>1017.353</v>
          </cell>
        </row>
        <row r="17">
          <cell r="C17">
            <v>647</v>
          </cell>
          <cell r="D17">
            <v>945.15800000000002</v>
          </cell>
        </row>
        <row r="18">
          <cell r="C18">
            <v>517</v>
          </cell>
          <cell r="D18">
            <v>884.94</v>
          </cell>
        </row>
        <row r="19">
          <cell r="C19">
            <v>621</v>
          </cell>
          <cell r="D19">
            <v>640.13199999999995</v>
          </cell>
        </row>
        <row r="20">
          <cell r="C20">
            <v>627</v>
          </cell>
          <cell r="D20">
            <v>687.24599999999998</v>
          </cell>
        </row>
        <row r="21">
          <cell r="C21">
            <v>628</v>
          </cell>
          <cell r="D21">
            <v>645.69000000000005</v>
          </cell>
        </row>
        <row r="22">
          <cell r="C22">
            <v>423</v>
          </cell>
          <cell r="D22">
            <v>770.64400000000001</v>
          </cell>
        </row>
        <row r="23">
          <cell r="C23">
            <v>421</v>
          </cell>
          <cell r="D23">
            <v>955.31600000000003</v>
          </cell>
        </row>
        <row r="24">
          <cell r="C24">
            <v>422</v>
          </cell>
          <cell r="D24">
            <v>774.303</v>
          </cell>
        </row>
        <row r="25">
          <cell r="C25">
            <v>428</v>
          </cell>
          <cell r="D25">
            <v>934.25900000000001</v>
          </cell>
        </row>
        <row r="26">
          <cell r="C26">
            <v>446</v>
          </cell>
          <cell r="D26">
            <v>674.495</v>
          </cell>
        </row>
        <row r="27">
          <cell r="C27">
            <v>626</v>
          </cell>
          <cell r="D27">
            <v>830.04300000000001</v>
          </cell>
        </row>
        <row r="28">
          <cell r="C28">
            <v>332</v>
          </cell>
          <cell r="D28">
            <v>661.423</v>
          </cell>
        </row>
        <row r="29">
          <cell r="C29">
            <v>322</v>
          </cell>
          <cell r="D29">
            <v>781.68499999999995</v>
          </cell>
        </row>
        <row r="30">
          <cell r="C30">
            <v>425</v>
          </cell>
          <cell r="D30">
            <v>677.55799999999999</v>
          </cell>
        </row>
        <row r="31">
          <cell r="C31">
            <v>512</v>
          </cell>
          <cell r="D31">
            <v>830.79600000000005</v>
          </cell>
        </row>
        <row r="32">
          <cell r="C32">
            <v>514</v>
          </cell>
          <cell r="D32">
            <v>838.37300000000005</v>
          </cell>
        </row>
        <row r="33">
          <cell r="C33">
            <v>419</v>
          </cell>
          <cell r="D33">
            <v>440.09199999999998</v>
          </cell>
        </row>
        <row r="34">
          <cell r="C34">
            <v>414</v>
          </cell>
          <cell r="D34">
            <v>554.83000000000004</v>
          </cell>
        </row>
        <row r="35">
          <cell r="C35">
            <v>336</v>
          </cell>
          <cell r="D35">
            <v>600.327</v>
          </cell>
        </row>
        <row r="36">
          <cell r="C36">
            <v>644</v>
          </cell>
          <cell r="D36">
            <v>838.32600000000002</v>
          </cell>
        </row>
        <row r="37">
          <cell r="C37">
            <v>611</v>
          </cell>
          <cell r="D37">
            <v>1080.326</v>
          </cell>
        </row>
        <row r="38">
          <cell r="C38">
            <v>612</v>
          </cell>
          <cell r="D38">
            <v>1055.279</v>
          </cell>
        </row>
        <row r="39">
          <cell r="C39">
            <v>614</v>
          </cell>
          <cell r="D39">
            <v>944.63400000000001</v>
          </cell>
        </row>
        <row r="40">
          <cell r="C40">
            <v>321</v>
          </cell>
          <cell r="D40">
            <v>824.601</v>
          </cell>
        </row>
        <row r="41">
          <cell r="C41">
            <v>326</v>
          </cell>
          <cell r="D41">
            <v>796.76300000000003</v>
          </cell>
        </row>
        <row r="42">
          <cell r="C42">
            <v>437</v>
          </cell>
          <cell r="D42">
            <v>890.84199999999998</v>
          </cell>
        </row>
        <row r="43">
          <cell r="C43">
            <v>438</v>
          </cell>
          <cell r="D43">
            <v>841.38699999999994</v>
          </cell>
        </row>
        <row r="44">
          <cell r="C44">
            <v>418</v>
          </cell>
          <cell r="D44">
            <v>563.48900000000003</v>
          </cell>
        </row>
        <row r="45">
          <cell r="C45">
            <v>317</v>
          </cell>
          <cell r="D45">
            <v>863.31700000000001</v>
          </cell>
        </row>
        <row r="46">
          <cell r="C46">
            <v>536</v>
          </cell>
          <cell r="D46">
            <v>689.76900000000001</v>
          </cell>
        </row>
        <row r="47">
          <cell r="C47">
            <v>539</v>
          </cell>
          <cell r="D47">
            <v>600.63099999999997</v>
          </cell>
        </row>
        <row r="48">
          <cell r="C48">
            <v>643</v>
          </cell>
          <cell r="D48">
            <v>649.12</v>
          </cell>
        </row>
        <row r="49">
          <cell r="C49">
            <v>617</v>
          </cell>
          <cell r="D49">
            <v>1498.98</v>
          </cell>
        </row>
        <row r="50">
          <cell r="C50">
            <v>416</v>
          </cell>
          <cell r="D50">
            <v>623.46900000000005</v>
          </cell>
        </row>
        <row r="51">
          <cell r="C51">
            <v>333</v>
          </cell>
          <cell r="D51">
            <v>721.52499999999998</v>
          </cell>
        </row>
        <row r="52">
          <cell r="C52">
            <v>618</v>
          </cell>
          <cell r="D52">
            <v>880.74400000000003</v>
          </cell>
        </row>
        <row r="53">
          <cell r="C53">
            <v>313</v>
          </cell>
          <cell r="D53">
            <v>536.76499999999999</v>
          </cell>
        </row>
        <row r="54">
          <cell r="C54">
            <v>535</v>
          </cell>
          <cell r="D54">
            <v>731.81200000000001</v>
          </cell>
        </row>
        <row r="55">
          <cell r="C55">
            <v>327</v>
          </cell>
          <cell r="D55">
            <v>631.11</v>
          </cell>
        </row>
        <row r="56">
          <cell r="C56">
            <v>314</v>
          </cell>
          <cell r="D56">
            <v>585.505</v>
          </cell>
        </row>
        <row r="57">
          <cell r="C57">
            <v>519</v>
          </cell>
          <cell r="D57">
            <v>806.99</v>
          </cell>
        </row>
        <row r="58">
          <cell r="C58">
            <v>511</v>
          </cell>
          <cell r="D58">
            <v>774.96500000000003</v>
          </cell>
        </row>
        <row r="59">
          <cell r="C59">
            <v>515</v>
          </cell>
          <cell r="D59">
            <v>826.49099999999999</v>
          </cell>
        </row>
        <row r="60">
          <cell r="C60">
            <v>324</v>
          </cell>
          <cell r="D60">
            <v>603.14099999999996</v>
          </cell>
        </row>
        <row r="61">
          <cell r="C61">
            <v>622</v>
          </cell>
          <cell r="D61">
            <v>913.52599999999995</v>
          </cell>
        </row>
        <row r="62">
          <cell r="C62">
            <v>639</v>
          </cell>
          <cell r="D62">
            <v>744.57500000000005</v>
          </cell>
        </row>
        <row r="63">
          <cell r="C63">
            <v>633</v>
          </cell>
          <cell r="D63">
            <v>714.72400000000005</v>
          </cell>
        </row>
        <row r="64">
          <cell r="C64">
            <v>312</v>
          </cell>
          <cell r="D64">
            <v>557.19200000000001</v>
          </cell>
        </row>
        <row r="65">
          <cell r="C65">
            <v>635</v>
          </cell>
          <cell r="D65">
            <v>883.61</v>
          </cell>
        </row>
        <row r="66">
          <cell r="C66">
            <v>331</v>
          </cell>
          <cell r="D66">
            <v>536.827</v>
          </cell>
        </row>
        <row r="67">
          <cell r="C67">
            <v>426</v>
          </cell>
          <cell r="D67">
            <v>960.971</v>
          </cell>
        </row>
        <row r="68">
          <cell r="C68">
            <v>335</v>
          </cell>
          <cell r="D68">
            <v>631.80200000000002</v>
          </cell>
        </row>
        <row r="69">
          <cell r="C69">
            <v>431</v>
          </cell>
          <cell r="D69">
            <v>861.41800000000001</v>
          </cell>
        </row>
        <row r="70">
          <cell r="C70">
            <v>435</v>
          </cell>
          <cell r="D70">
            <v>749.25199999999995</v>
          </cell>
        </row>
        <row r="71">
          <cell r="C71">
            <v>523</v>
          </cell>
          <cell r="D71">
            <v>765.85</v>
          </cell>
        </row>
        <row r="72">
          <cell r="C72">
            <v>528</v>
          </cell>
          <cell r="D72">
            <v>668.21699999999998</v>
          </cell>
        </row>
        <row r="73">
          <cell r="C73">
            <v>524</v>
          </cell>
          <cell r="D73">
            <v>650.26800000000003</v>
          </cell>
        </row>
        <row r="74">
          <cell r="C74">
            <v>638</v>
          </cell>
          <cell r="D74">
            <v>762.71299999999997</v>
          </cell>
        </row>
        <row r="75">
          <cell r="C75">
            <v>636</v>
          </cell>
          <cell r="D75">
            <v>681.38300000000004</v>
          </cell>
        </row>
        <row r="76">
          <cell r="C76">
            <v>641</v>
          </cell>
          <cell r="D76">
            <v>753.79899999999998</v>
          </cell>
        </row>
        <row r="77">
          <cell r="C77">
            <v>642</v>
          </cell>
          <cell r="D77">
            <v>660.03599999999994</v>
          </cell>
        </row>
        <row r="78">
          <cell r="C78">
            <v>311</v>
          </cell>
          <cell r="D78">
            <v>718.5</v>
          </cell>
        </row>
        <row r="79">
          <cell r="C79">
            <v>319</v>
          </cell>
          <cell r="D79">
            <v>512.75699999999995</v>
          </cell>
        </row>
        <row r="80">
          <cell r="C80">
            <v>318</v>
          </cell>
          <cell r="D80">
            <v>518.55200000000002</v>
          </cell>
        </row>
        <row r="81">
          <cell r="C81">
            <v>417</v>
          </cell>
          <cell r="D81">
            <v>744.57799999999997</v>
          </cell>
        </row>
        <row r="82">
          <cell r="C82">
            <v>337</v>
          </cell>
          <cell r="D82">
            <v>527.11</v>
          </cell>
        </row>
        <row r="83">
          <cell r="C83">
            <v>415</v>
          </cell>
          <cell r="D83">
            <v>574.74300000000005</v>
          </cell>
        </row>
        <row r="84">
          <cell r="C84">
            <v>619</v>
          </cell>
          <cell r="D84">
            <v>1041.9480000000001</v>
          </cell>
        </row>
        <row r="85">
          <cell r="C85">
            <v>432</v>
          </cell>
          <cell r="D85">
            <v>953.30899999999997</v>
          </cell>
        </row>
        <row r="86">
          <cell r="C86">
            <v>433</v>
          </cell>
          <cell r="D86">
            <v>585.39499999999998</v>
          </cell>
        </row>
        <row r="87">
          <cell r="C87">
            <v>513</v>
          </cell>
          <cell r="D87">
            <v>1003.095</v>
          </cell>
        </row>
        <row r="88">
          <cell r="C88">
            <v>441</v>
          </cell>
          <cell r="D88">
            <v>915.81299999999999</v>
          </cell>
        </row>
        <row r="89">
          <cell r="C89">
            <v>445</v>
          </cell>
          <cell r="D89">
            <v>1050.7570000000001</v>
          </cell>
        </row>
        <row r="90">
          <cell r="C90">
            <v>325</v>
          </cell>
          <cell r="D90">
            <v>837.59100000000001</v>
          </cell>
        </row>
        <row r="91">
          <cell r="C91">
            <v>328</v>
          </cell>
          <cell r="D91">
            <v>604.32600000000002</v>
          </cell>
        </row>
        <row r="92">
          <cell r="C92">
            <v>329</v>
          </cell>
          <cell r="D92">
            <v>673.54</v>
          </cell>
        </row>
        <row r="93">
          <cell r="C93">
            <v>615</v>
          </cell>
          <cell r="D93">
            <v>1493.0940000000001</v>
          </cell>
        </row>
        <row r="94">
          <cell r="C94">
            <v>646</v>
          </cell>
          <cell r="D94">
            <v>678.7</v>
          </cell>
        </row>
        <row r="95">
          <cell r="C95">
            <v>629</v>
          </cell>
          <cell r="D95">
            <v>534.08699999999999</v>
          </cell>
        </row>
        <row r="96">
          <cell r="C96">
            <v>413</v>
          </cell>
          <cell r="D96">
            <v>915.24199999999996</v>
          </cell>
        </row>
        <row r="97">
          <cell r="C97">
            <v>448</v>
          </cell>
          <cell r="D97">
            <v>603.35799999999995</v>
          </cell>
        </row>
        <row r="98">
          <cell r="C98">
            <v>634</v>
          </cell>
          <cell r="D98">
            <v>762.27499999999998</v>
          </cell>
        </row>
        <row r="99">
          <cell r="C99">
            <v>623</v>
          </cell>
          <cell r="D99">
            <v>709.95100000000002</v>
          </cell>
        </row>
        <row r="100">
          <cell r="C100">
            <v>624</v>
          </cell>
          <cell r="D100">
            <v>679.35299999999995</v>
          </cell>
        </row>
        <row r="101">
          <cell r="C101">
            <v>557</v>
          </cell>
          <cell r="D101">
            <v>590.94799999999998</v>
          </cell>
        </row>
        <row r="102">
          <cell r="C102">
            <v>558</v>
          </cell>
          <cell r="D102">
            <v>556.34</v>
          </cell>
        </row>
        <row r="103">
          <cell r="C103">
            <v>447</v>
          </cell>
          <cell r="D103">
            <v>547.51199999999994</v>
          </cell>
        </row>
        <row r="104">
          <cell r="C104">
            <v>631</v>
          </cell>
          <cell r="D104">
            <v>681.58500000000004</v>
          </cell>
        </row>
        <row r="105">
          <cell r="C105">
            <v>632</v>
          </cell>
          <cell r="D105">
            <v>678.73699999999997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2C34-90F7-4FF6-BA3E-3023EBA102A6}">
  <dimension ref="A1:I207"/>
  <sheetViews>
    <sheetView tabSelected="1" workbookViewId="0">
      <selection activeCell="G12" sqref="G12"/>
    </sheetView>
  </sheetViews>
  <sheetFormatPr defaultRowHeight="15" x14ac:dyDescent="0.25"/>
  <cols>
    <col min="2" max="2" width="23.28515625" customWidth="1"/>
    <col min="4" max="4" width="28" customWidth="1"/>
    <col min="5" max="5" width="19.140625" customWidth="1"/>
    <col min="6" max="6" width="19.7109375" customWidth="1"/>
    <col min="7" max="7" width="22" customWidth="1"/>
    <col min="8" max="8" width="19.42578125" customWidth="1"/>
    <col min="9" max="9" width="17.28515625" customWidth="1"/>
  </cols>
  <sheetData>
    <row r="1" spans="1:9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thickBot="1" x14ac:dyDescent="0.3">
      <c r="A2" s="2">
        <v>2568</v>
      </c>
      <c r="B2" s="2">
        <v>53300</v>
      </c>
      <c r="C2" s="2" t="str">
        <f>LEFT(B2,3)</f>
        <v>533</v>
      </c>
      <c r="D2" s="3" t="s">
        <v>9</v>
      </c>
      <c r="E2" s="3">
        <f>INDEX([1]group_data_final!D:D, MATCH(VALUE(C2), [1]group_data_final!C:C, 0))</f>
        <v>1016.413</v>
      </c>
      <c r="F2" s="2">
        <v>32183800</v>
      </c>
      <c r="G2" s="2">
        <v>14235295</v>
      </c>
      <c r="H2" s="2">
        <v>0.44231243669999998</v>
      </c>
      <c r="I2">
        <f>G2/E2</f>
        <v>14005.42397627736</v>
      </c>
    </row>
    <row r="3" spans="1:9" ht="15.75" thickBot="1" x14ac:dyDescent="0.3">
      <c r="A3" s="2">
        <v>2569</v>
      </c>
      <c r="B3" s="2">
        <v>44400</v>
      </c>
      <c r="C3" s="2" t="str">
        <f t="shared" ref="C3:C48" si="0">LEFT(B3,3)</f>
        <v>444</v>
      </c>
      <c r="D3" s="3" t="s">
        <v>10</v>
      </c>
      <c r="E3" s="3">
        <f>INDEX([1]group_data_final!D:D, MATCH(VALUE(C3), [1]group_data_final!C:C, 0))</f>
        <v>1017.353</v>
      </c>
      <c r="F3" s="2">
        <v>43640088</v>
      </c>
      <c r="G3" s="2">
        <v>13552300</v>
      </c>
      <c r="H3" s="2">
        <v>0.31054703649999998</v>
      </c>
      <c r="I3">
        <f t="shared" ref="I3:I48" si="1">G3/E3</f>
        <v>13321.138287300475</v>
      </c>
    </row>
    <row r="4" spans="1:9" ht="15.75" thickBot="1" x14ac:dyDescent="0.3">
      <c r="A4" s="2">
        <v>2568</v>
      </c>
      <c r="B4" s="2">
        <v>44400</v>
      </c>
      <c r="C4" s="2" t="str">
        <f t="shared" si="0"/>
        <v>444</v>
      </c>
      <c r="D4" s="3" t="s">
        <v>10</v>
      </c>
      <c r="E4" s="3">
        <f>INDEX([1]group_data_final!D:D, MATCH(VALUE(C4), [1]group_data_final!C:C, 0))</f>
        <v>1017.353</v>
      </c>
      <c r="F4" s="2">
        <v>43319356</v>
      </c>
      <c r="G4" s="2">
        <v>13475969</v>
      </c>
      <c r="H4" s="2">
        <v>0.31108424140000002</v>
      </c>
      <c r="I4">
        <f t="shared" si="1"/>
        <v>13246.109265908688</v>
      </c>
    </row>
    <row r="5" spans="1:9" ht="15.75" thickBot="1" x14ac:dyDescent="0.3">
      <c r="A5" s="2">
        <v>2569</v>
      </c>
      <c r="B5" s="2">
        <v>53300</v>
      </c>
      <c r="C5" s="2" t="str">
        <f t="shared" si="0"/>
        <v>533</v>
      </c>
      <c r="D5" s="3" t="s">
        <v>9</v>
      </c>
      <c r="E5" s="3">
        <f>INDEX([1]group_data_final!D:D, MATCH(VALUE(C5), [1]group_data_final!C:C, 0))</f>
        <v>1016.413</v>
      </c>
      <c r="F5" s="2">
        <v>30227550</v>
      </c>
      <c r="G5" s="2">
        <v>12067117</v>
      </c>
      <c r="H5" s="2">
        <v>0.39920923130000002</v>
      </c>
      <c r="I5">
        <f t="shared" si="1"/>
        <v>11872.257635429693</v>
      </c>
    </row>
    <row r="6" spans="1:9" ht="27" thickBot="1" x14ac:dyDescent="0.3">
      <c r="A6" s="2">
        <v>2568</v>
      </c>
      <c r="B6" s="2">
        <v>33300</v>
      </c>
      <c r="C6" s="2" t="str">
        <f t="shared" si="0"/>
        <v>333</v>
      </c>
      <c r="D6" s="3" t="s">
        <v>12</v>
      </c>
      <c r="E6" s="3">
        <f>INDEX([1]group_data_final!D:D, MATCH(VALUE(C6), [1]group_data_final!C:C, 0))</f>
        <v>721.52499999999998</v>
      </c>
      <c r="F6" s="2">
        <v>20099188</v>
      </c>
      <c r="G6" s="2">
        <v>11428060</v>
      </c>
      <c r="H6" s="2">
        <v>0.56858316860000002</v>
      </c>
      <c r="I6">
        <f t="shared" si="1"/>
        <v>15838.758185787048</v>
      </c>
    </row>
    <row r="7" spans="1:9" ht="15.75" thickBot="1" x14ac:dyDescent="0.3">
      <c r="A7" s="2">
        <v>2569</v>
      </c>
      <c r="B7" s="2">
        <v>62100</v>
      </c>
      <c r="C7" s="2" t="str">
        <f t="shared" si="0"/>
        <v>621</v>
      </c>
      <c r="D7" s="3" t="s">
        <v>13</v>
      </c>
      <c r="E7" s="3">
        <f>INDEX([1]group_data_final!D:D, MATCH(VALUE(C7), [1]group_data_final!C:C, 0))</f>
        <v>640.13199999999995</v>
      </c>
      <c r="F7" s="2">
        <v>19788744</v>
      </c>
      <c r="G7" s="2">
        <v>11268219</v>
      </c>
      <c r="H7" s="2">
        <v>0.56942567960000001</v>
      </c>
      <c r="I7">
        <f t="shared" si="1"/>
        <v>17602.961576674814</v>
      </c>
    </row>
    <row r="8" spans="1:9" ht="15.75" thickBot="1" x14ac:dyDescent="0.3">
      <c r="A8" s="2">
        <v>2568</v>
      </c>
      <c r="B8" s="2">
        <v>62200</v>
      </c>
      <c r="C8" s="2" t="str">
        <f t="shared" si="0"/>
        <v>622</v>
      </c>
      <c r="D8" s="3" t="s">
        <v>14</v>
      </c>
      <c r="E8" s="3">
        <f>INDEX([1]group_data_final!D:D, MATCH(VALUE(C8), [1]group_data_final!C:C, 0))</f>
        <v>913.52599999999995</v>
      </c>
      <c r="F8" s="2">
        <v>20752900</v>
      </c>
      <c r="G8" s="2">
        <v>11266383</v>
      </c>
      <c r="H8" s="2">
        <v>0.54288234420000003</v>
      </c>
      <c r="I8">
        <f t="shared" si="1"/>
        <v>12332.854237317822</v>
      </c>
    </row>
    <row r="9" spans="1:9" ht="15.75" thickBot="1" x14ac:dyDescent="0.3">
      <c r="A9" s="2">
        <v>2569</v>
      </c>
      <c r="B9" s="2">
        <v>31700</v>
      </c>
      <c r="C9" s="2" t="str">
        <f t="shared" si="0"/>
        <v>317</v>
      </c>
      <c r="D9" s="3" t="s">
        <v>15</v>
      </c>
      <c r="E9" s="3">
        <f>INDEX([1]group_data_final!D:D, MATCH(VALUE(C9), [1]group_data_final!C:C, 0))</f>
        <v>863.31700000000001</v>
      </c>
      <c r="F9" s="2">
        <v>20388582</v>
      </c>
      <c r="G9" s="2">
        <v>11227314</v>
      </c>
      <c r="H9" s="2">
        <v>0.5506667408</v>
      </c>
      <c r="I9">
        <f t="shared" si="1"/>
        <v>13004.856848643083</v>
      </c>
    </row>
    <row r="10" spans="1:9" ht="15.75" thickBot="1" x14ac:dyDescent="0.3">
      <c r="A10" s="2">
        <v>2568</v>
      </c>
      <c r="B10" s="2">
        <v>32100</v>
      </c>
      <c r="C10" s="2" t="str">
        <f t="shared" si="0"/>
        <v>321</v>
      </c>
      <c r="D10" s="3" t="s">
        <v>11</v>
      </c>
      <c r="E10" s="3">
        <f>INDEX([1]group_data_final!D:D, MATCH(VALUE(C10), [1]group_data_final!C:C, 0))</f>
        <v>824.601</v>
      </c>
      <c r="F10" s="2">
        <v>29817947</v>
      </c>
      <c r="G10" s="2">
        <v>11117192</v>
      </c>
      <c r="H10" s="2">
        <v>0.37283559459999999</v>
      </c>
      <c r="I10">
        <f t="shared" si="1"/>
        <v>13481.904581731043</v>
      </c>
    </row>
    <row r="11" spans="1:9" ht="15.75" thickBot="1" x14ac:dyDescent="0.3">
      <c r="A11" s="2">
        <v>2569</v>
      </c>
      <c r="B11" s="2">
        <v>42200</v>
      </c>
      <c r="C11" s="2" t="str">
        <f t="shared" si="0"/>
        <v>422</v>
      </c>
      <c r="D11" s="3" t="s">
        <v>17</v>
      </c>
      <c r="E11" s="3">
        <f>INDEX([1]group_data_final!D:D, MATCH(VALUE(C11), [1]group_data_final!C:C, 0))</f>
        <v>774.303</v>
      </c>
      <c r="F11" s="2">
        <v>18222222</v>
      </c>
      <c r="G11" s="2">
        <v>11020568</v>
      </c>
      <c r="H11" s="2">
        <v>0.60478727570000002</v>
      </c>
      <c r="I11">
        <f t="shared" si="1"/>
        <v>14232.888158769887</v>
      </c>
    </row>
    <row r="12" spans="1:9" ht="15.75" thickBot="1" x14ac:dyDescent="0.3">
      <c r="A12" s="2">
        <v>2568</v>
      </c>
      <c r="B12" s="2">
        <v>64400</v>
      </c>
      <c r="C12" s="2" t="str">
        <f t="shared" si="0"/>
        <v>644</v>
      </c>
      <c r="D12" s="3" t="s">
        <v>18</v>
      </c>
      <c r="E12" s="3">
        <f>INDEX([1]group_data_final!D:D, MATCH(VALUE(C12), [1]group_data_final!C:C, 0))</f>
        <v>838.32600000000002</v>
      </c>
      <c r="F12" s="2">
        <v>50210000</v>
      </c>
      <c r="G12" s="2">
        <v>10795615</v>
      </c>
      <c r="H12" s="2">
        <v>0.21500926109999999</v>
      </c>
      <c r="I12">
        <f t="shared" si="1"/>
        <v>12877.585807907662</v>
      </c>
    </row>
    <row r="13" spans="1:9" ht="15.75" thickBot="1" x14ac:dyDescent="0.3">
      <c r="A13" s="2">
        <v>2569</v>
      </c>
      <c r="B13" s="2">
        <v>62200</v>
      </c>
      <c r="C13" s="2" t="str">
        <f t="shared" si="0"/>
        <v>622</v>
      </c>
      <c r="D13" s="3" t="s">
        <v>14</v>
      </c>
      <c r="E13" s="3">
        <f>INDEX([1]group_data_final!D:D, MATCH(VALUE(C13), [1]group_data_final!C:C, 0))</f>
        <v>913.52599999999995</v>
      </c>
      <c r="F13" s="2">
        <v>18156416</v>
      </c>
      <c r="G13" s="2">
        <v>10664925</v>
      </c>
      <c r="H13" s="2">
        <v>0.58739153150000001</v>
      </c>
      <c r="I13">
        <f t="shared" si="1"/>
        <v>11674.462467406511</v>
      </c>
    </row>
    <row r="14" spans="1:9" ht="15.75" thickBot="1" x14ac:dyDescent="0.3">
      <c r="A14" s="2">
        <v>2568</v>
      </c>
      <c r="B14" s="2">
        <v>31700</v>
      </c>
      <c r="C14" s="2" t="str">
        <f t="shared" si="0"/>
        <v>317</v>
      </c>
      <c r="D14" s="3" t="s">
        <v>15</v>
      </c>
      <c r="E14" s="3">
        <f>INDEX([1]group_data_final!D:D, MATCH(VALUE(C14), [1]group_data_final!C:C, 0))</f>
        <v>863.31700000000001</v>
      </c>
      <c r="F14" s="2">
        <v>17717370</v>
      </c>
      <c r="G14" s="2">
        <v>10610110</v>
      </c>
      <c r="H14" s="2">
        <v>0.59885355439999999</v>
      </c>
      <c r="I14">
        <f t="shared" si="1"/>
        <v>12289.935214990554</v>
      </c>
    </row>
    <row r="15" spans="1:9" ht="15.75" thickBot="1" x14ac:dyDescent="0.3">
      <c r="A15" s="2">
        <v>2569</v>
      </c>
      <c r="B15" s="2">
        <v>32100</v>
      </c>
      <c r="C15" s="2" t="str">
        <f t="shared" si="0"/>
        <v>321</v>
      </c>
      <c r="D15" s="3" t="s">
        <v>11</v>
      </c>
      <c r="E15" s="3">
        <f>INDEX([1]group_data_final!D:D, MATCH(VALUE(C15), [1]group_data_final!C:C, 0))</f>
        <v>824.601</v>
      </c>
      <c r="F15" s="2">
        <v>32886887</v>
      </c>
      <c r="G15" s="2">
        <v>10594254</v>
      </c>
      <c r="H15" s="2">
        <v>0.3221421961</v>
      </c>
      <c r="I15">
        <f t="shared" si="1"/>
        <v>12847.733631174349</v>
      </c>
    </row>
    <row r="16" spans="1:9" ht="15.75" thickBot="1" x14ac:dyDescent="0.3">
      <c r="A16" s="2">
        <v>2568</v>
      </c>
      <c r="B16" s="2">
        <v>42600</v>
      </c>
      <c r="C16" s="2" t="str">
        <f t="shared" si="0"/>
        <v>426</v>
      </c>
      <c r="D16" s="3" t="s">
        <v>19</v>
      </c>
      <c r="E16" s="3">
        <f>INDEX([1]group_data_final!D:D, MATCH(VALUE(C16), [1]group_data_final!C:C, 0))</f>
        <v>960.971</v>
      </c>
      <c r="F16" s="2">
        <v>18554146</v>
      </c>
      <c r="G16" s="2">
        <v>10338180</v>
      </c>
      <c r="H16" s="2">
        <v>0.55718975159999995</v>
      </c>
      <c r="I16">
        <f t="shared" si="1"/>
        <v>10758.056174431902</v>
      </c>
    </row>
    <row r="17" spans="1:9" ht="15.75" thickBot="1" x14ac:dyDescent="0.3">
      <c r="A17" s="2">
        <v>2569</v>
      </c>
      <c r="B17" s="2">
        <v>51900</v>
      </c>
      <c r="C17" s="2" t="str">
        <f t="shared" si="0"/>
        <v>519</v>
      </c>
      <c r="D17" s="3" t="s">
        <v>20</v>
      </c>
      <c r="E17" s="3">
        <f>INDEX([1]group_data_final!D:D, MATCH(VALUE(C17), [1]group_data_final!C:C, 0))</f>
        <v>806.99</v>
      </c>
      <c r="F17" s="2">
        <v>13917000</v>
      </c>
      <c r="G17" s="2">
        <v>10307035</v>
      </c>
      <c r="H17" s="2">
        <v>0.74060753040000005</v>
      </c>
      <c r="I17">
        <f t="shared" si="1"/>
        <v>12772.196681495434</v>
      </c>
    </row>
    <row r="18" spans="1:9" ht="15.75" thickBot="1" x14ac:dyDescent="0.3">
      <c r="A18" s="2">
        <v>2568</v>
      </c>
      <c r="B18" s="2">
        <v>42200</v>
      </c>
      <c r="C18" s="2" t="str">
        <f t="shared" si="0"/>
        <v>422</v>
      </c>
      <c r="D18" s="3" t="s">
        <v>17</v>
      </c>
      <c r="E18" s="3">
        <f>INDEX([1]group_data_final!D:D, MATCH(VALUE(C18), [1]group_data_final!C:C, 0))</f>
        <v>774.303</v>
      </c>
      <c r="F18" s="2">
        <v>14817667</v>
      </c>
      <c r="G18" s="2">
        <v>9697899</v>
      </c>
      <c r="H18" s="2">
        <v>0.65448218000000002</v>
      </c>
      <c r="I18">
        <f t="shared" si="1"/>
        <v>12524.68219805425</v>
      </c>
    </row>
    <row r="19" spans="1:9" ht="15.75" thickBot="1" x14ac:dyDescent="0.3">
      <c r="A19" s="2">
        <v>2568</v>
      </c>
      <c r="B19" s="2">
        <v>51900</v>
      </c>
      <c r="C19" s="2" t="str">
        <f t="shared" si="0"/>
        <v>519</v>
      </c>
      <c r="D19" s="3" t="s">
        <v>20</v>
      </c>
      <c r="E19" s="3">
        <f>INDEX([1]group_data_final!D:D, MATCH(VALUE(C19), [1]group_data_final!C:C, 0))</f>
        <v>806.99</v>
      </c>
      <c r="F19" s="2">
        <v>16617489</v>
      </c>
      <c r="G19" s="2">
        <v>9573072</v>
      </c>
      <c r="H19" s="2">
        <v>0.5760841485</v>
      </c>
      <c r="I19">
        <f t="shared" si="1"/>
        <v>11862.689748324019</v>
      </c>
    </row>
    <row r="20" spans="1:9" ht="15.75" thickBot="1" x14ac:dyDescent="0.3">
      <c r="A20" s="2">
        <v>2569</v>
      </c>
      <c r="B20" s="2">
        <v>61400</v>
      </c>
      <c r="C20" s="2" t="str">
        <f t="shared" si="0"/>
        <v>614</v>
      </c>
      <c r="D20" s="3" t="s">
        <v>22</v>
      </c>
      <c r="E20" s="3">
        <f>INDEX([1]group_data_final!D:D, MATCH(VALUE(C20), [1]group_data_final!C:C, 0))</f>
        <v>944.63400000000001</v>
      </c>
      <c r="F20" s="2">
        <v>23453400</v>
      </c>
      <c r="G20" s="2">
        <v>9555036</v>
      </c>
      <c r="H20" s="2">
        <v>0.40740515230000002</v>
      </c>
      <c r="I20">
        <f t="shared" si="1"/>
        <v>10115.066787771771</v>
      </c>
    </row>
    <row r="21" spans="1:9" ht="15.75" thickBot="1" x14ac:dyDescent="0.3">
      <c r="A21" s="2">
        <v>2569</v>
      </c>
      <c r="B21" s="2">
        <v>61100</v>
      </c>
      <c r="C21" s="2" t="str">
        <f t="shared" si="0"/>
        <v>611</v>
      </c>
      <c r="D21" s="3" t="s">
        <v>23</v>
      </c>
      <c r="E21" s="3">
        <f>INDEX([1]group_data_final!D:D, MATCH(VALUE(C21), [1]group_data_final!C:C, 0))</f>
        <v>1080.326</v>
      </c>
      <c r="F21" s="2">
        <v>15723722</v>
      </c>
      <c r="G21" s="2">
        <v>9390285</v>
      </c>
      <c r="H21" s="2">
        <v>0.59720497480000001</v>
      </c>
      <c r="I21">
        <f t="shared" si="1"/>
        <v>8692.084611496899</v>
      </c>
    </row>
    <row r="22" spans="1:9" ht="15.75" thickBot="1" x14ac:dyDescent="0.3">
      <c r="A22" s="2">
        <v>2568</v>
      </c>
      <c r="B22" s="2">
        <v>61700</v>
      </c>
      <c r="C22" s="2" t="str">
        <f t="shared" si="0"/>
        <v>617</v>
      </c>
      <c r="D22" s="3" t="s">
        <v>16</v>
      </c>
      <c r="E22" s="3">
        <f>INDEX([1]group_data_final!D:D, MATCH(VALUE(C22), [1]group_data_final!C:C, 0))</f>
        <v>1498.98</v>
      </c>
      <c r="F22" s="2">
        <v>17920200</v>
      </c>
      <c r="G22" s="2">
        <v>9377106</v>
      </c>
      <c r="H22" s="2">
        <v>0.52327016439999996</v>
      </c>
      <c r="I22">
        <f t="shared" si="1"/>
        <v>6255.6578473361888</v>
      </c>
    </row>
    <row r="23" spans="1:9" ht="27" thickBot="1" x14ac:dyDescent="0.3">
      <c r="A23" s="2">
        <v>2568</v>
      </c>
      <c r="B23" s="2">
        <v>32500</v>
      </c>
      <c r="C23" s="2" t="str">
        <f t="shared" si="0"/>
        <v>325</v>
      </c>
      <c r="D23" s="3" t="s">
        <v>25</v>
      </c>
      <c r="E23" s="3">
        <f>INDEX([1]group_data_final!D:D, MATCH(VALUE(C23), [1]group_data_final!C:C, 0))</f>
        <v>837.59100000000001</v>
      </c>
      <c r="F23" s="2">
        <v>24413220</v>
      </c>
      <c r="G23" s="2">
        <v>9106230</v>
      </c>
      <c r="H23" s="2">
        <v>0.37300405269999998</v>
      </c>
      <c r="I23">
        <f t="shared" si="1"/>
        <v>10871.929139639753</v>
      </c>
    </row>
    <row r="24" spans="1:9" ht="15.75" thickBot="1" x14ac:dyDescent="0.3">
      <c r="A24" s="2">
        <v>2568</v>
      </c>
      <c r="B24" s="2">
        <v>51300</v>
      </c>
      <c r="C24" s="2" t="str">
        <f t="shared" si="0"/>
        <v>513</v>
      </c>
      <c r="D24" s="3" t="s">
        <v>24</v>
      </c>
      <c r="E24" s="3">
        <f>INDEX([1]group_data_final!D:D, MATCH(VALUE(C24), [1]group_data_final!C:C, 0))</f>
        <v>1003.095</v>
      </c>
      <c r="F24" s="2">
        <v>26824641</v>
      </c>
      <c r="G24" s="2">
        <v>9063218</v>
      </c>
      <c r="H24" s="2">
        <v>0.33786912559999999</v>
      </c>
      <c r="I24">
        <f t="shared" si="1"/>
        <v>9035.253889212885</v>
      </c>
    </row>
    <row r="25" spans="1:9" ht="27" thickBot="1" x14ac:dyDescent="0.3">
      <c r="A25" s="2">
        <v>2569</v>
      </c>
      <c r="B25" s="2">
        <v>62700</v>
      </c>
      <c r="C25" s="2" t="str">
        <f t="shared" si="0"/>
        <v>627</v>
      </c>
      <c r="D25" s="3" t="s">
        <v>27</v>
      </c>
      <c r="E25" s="3">
        <f>INDEX([1]group_data_final!D:D, MATCH(VALUE(C25), [1]group_data_final!C:C, 0))</f>
        <v>687.24599999999998</v>
      </c>
      <c r="F25" s="2">
        <v>20790006</v>
      </c>
      <c r="G25" s="2">
        <v>9054492</v>
      </c>
      <c r="H25" s="2">
        <v>0.43552137499999999</v>
      </c>
      <c r="I25">
        <f t="shared" si="1"/>
        <v>13175.03775940493</v>
      </c>
    </row>
    <row r="26" spans="1:9" ht="27" thickBot="1" x14ac:dyDescent="0.3">
      <c r="A26" s="2">
        <v>2569</v>
      </c>
      <c r="B26" s="2">
        <v>33300</v>
      </c>
      <c r="C26" s="2" t="str">
        <f t="shared" si="0"/>
        <v>333</v>
      </c>
      <c r="D26" s="3" t="s">
        <v>12</v>
      </c>
      <c r="E26" s="3">
        <f>INDEX([1]group_data_final!D:D, MATCH(VALUE(C26), [1]group_data_final!C:C, 0))</f>
        <v>721.52499999999998</v>
      </c>
      <c r="F26" s="2">
        <v>19987895</v>
      </c>
      <c r="G26" s="2">
        <v>8925834</v>
      </c>
      <c r="H26" s="2">
        <v>0.44656198159999999</v>
      </c>
      <c r="I26">
        <f t="shared" si="1"/>
        <v>12370.789646928381</v>
      </c>
    </row>
    <row r="27" spans="1:9" ht="15.75" thickBot="1" x14ac:dyDescent="0.3">
      <c r="A27" s="2">
        <v>2568</v>
      </c>
      <c r="B27" s="2">
        <v>61400</v>
      </c>
      <c r="C27" s="2" t="str">
        <f t="shared" si="0"/>
        <v>614</v>
      </c>
      <c r="D27" s="3" t="s">
        <v>22</v>
      </c>
      <c r="E27" s="3">
        <f>INDEX([1]group_data_final!D:D, MATCH(VALUE(C27), [1]group_data_final!C:C, 0))</f>
        <v>944.63400000000001</v>
      </c>
      <c r="F27" s="2">
        <v>28640519</v>
      </c>
      <c r="G27" s="2">
        <v>8850718</v>
      </c>
      <c r="H27" s="2">
        <v>0.30902784970000002</v>
      </c>
      <c r="I27">
        <f t="shared" si="1"/>
        <v>9369.4679632534935</v>
      </c>
    </row>
    <row r="28" spans="1:9" ht="15.75" thickBot="1" x14ac:dyDescent="0.3">
      <c r="A28" s="2">
        <v>2569</v>
      </c>
      <c r="B28" s="2">
        <v>42600</v>
      </c>
      <c r="C28" s="2" t="str">
        <f t="shared" si="0"/>
        <v>426</v>
      </c>
      <c r="D28" s="3" t="s">
        <v>19</v>
      </c>
      <c r="E28" s="3">
        <f>INDEX([1]group_data_final!D:D, MATCH(VALUE(C28), [1]group_data_final!C:C, 0))</f>
        <v>960.971</v>
      </c>
      <c r="F28" s="2">
        <v>28782953</v>
      </c>
      <c r="G28" s="2">
        <v>8767890</v>
      </c>
      <c r="H28" s="2">
        <v>0.30462093309999999</v>
      </c>
      <c r="I28">
        <f t="shared" si="1"/>
        <v>9123.9902140647318</v>
      </c>
    </row>
    <row r="29" spans="1:9" ht="15.75" thickBot="1" x14ac:dyDescent="0.3">
      <c r="A29" s="2">
        <v>2569</v>
      </c>
      <c r="B29" s="2">
        <v>64400</v>
      </c>
      <c r="C29" s="2" t="str">
        <f t="shared" si="0"/>
        <v>644</v>
      </c>
      <c r="D29" s="3" t="s">
        <v>18</v>
      </c>
      <c r="E29" s="3">
        <f>INDEX([1]group_data_final!D:D, MATCH(VALUE(C29), [1]group_data_final!C:C, 0))</f>
        <v>838.32600000000002</v>
      </c>
      <c r="F29" s="2">
        <v>13292500</v>
      </c>
      <c r="G29" s="2">
        <v>8711727</v>
      </c>
      <c r="H29" s="2">
        <v>0.65538664660000001</v>
      </c>
      <c r="I29">
        <f t="shared" si="1"/>
        <v>10391.812970133336</v>
      </c>
    </row>
    <row r="30" spans="1:9" ht="15.75" thickBot="1" x14ac:dyDescent="0.3">
      <c r="A30" s="2">
        <v>2569</v>
      </c>
      <c r="B30" s="2">
        <v>43700</v>
      </c>
      <c r="C30" s="2" t="str">
        <f t="shared" si="0"/>
        <v>437</v>
      </c>
      <c r="D30" s="3" t="s">
        <v>21</v>
      </c>
      <c r="E30" s="3">
        <f>INDEX([1]group_data_final!D:D, MATCH(VALUE(C30), [1]group_data_final!C:C, 0))</f>
        <v>890.84199999999998</v>
      </c>
      <c r="F30" s="2">
        <v>15762322</v>
      </c>
      <c r="G30" s="2">
        <v>8554997</v>
      </c>
      <c r="H30" s="2">
        <v>0.54274979280000002</v>
      </c>
      <c r="I30">
        <f t="shared" si="1"/>
        <v>9603.2708381508728</v>
      </c>
    </row>
    <row r="31" spans="1:9" ht="15.75" thickBot="1" x14ac:dyDescent="0.3">
      <c r="A31" s="2">
        <v>2568</v>
      </c>
      <c r="B31" s="2">
        <v>43700</v>
      </c>
      <c r="C31" s="2" t="str">
        <f t="shared" si="0"/>
        <v>437</v>
      </c>
      <c r="D31" s="3" t="s">
        <v>21</v>
      </c>
      <c r="E31" s="3">
        <f>INDEX([1]group_data_final!D:D, MATCH(VALUE(C31), [1]group_data_final!C:C, 0))</f>
        <v>890.84199999999998</v>
      </c>
      <c r="F31" s="2">
        <v>16375016</v>
      </c>
      <c r="G31" s="2">
        <v>8526570</v>
      </c>
      <c r="H31" s="2">
        <v>0.52070605609999998</v>
      </c>
      <c r="I31">
        <f t="shared" si="1"/>
        <v>9571.3605779700556</v>
      </c>
    </row>
    <row r="32" spans="1:9" ht="15.75" thickBot="1" x14ac:dyDescent="0.3">
      <c r="A32" s="2">
        <v>2569</v>
      </c>
      <c r="B32" s="2">
        <v>52200</v>
      </c>
      <c r="C32" s="2" t="str">
        <f t="shared" si="0"/>
        <v>522</v>
      </c>
      <c r="D32" s="3" t="s">
        <v>29</v>
      </c>
      <c r="E32" s="3">
        <f>INDEX([1]group_data_final!D:D, MATCH(VALUE(C32), [1]group_data_final!C:C, 0))</f>
        <v>922.12800000000004</v>
      </c>
      <c r="F32" s="2">
        <v>20125400</v>
      </c>
      <c r="G32" s="2">
        <v>8514533</v>
      </c>
      <c r="H32" s="2">
        <v>0.42307397619999998</v>
      </c>
      <c r="I32">
        <f t="shared" si="1"/>
        <v>9233.5695261395376</v>
      </c>
    </row>
    <row r="33" spans="1:9" ht="15.75" thickBot="1" x14ac:dyDescent="0.3">
      <c r="A33" s="2">
        <v>2568</v>
      </c>
      <c r="B33" s="2">
        <v>53100</v>
      </c>
      <c r="C33" s="2" t="str">
        <f t="shared" si="0"/>
        <v>531</v>
      </c>
      <c r="D33" s="3" t="s">
        <v>30</v>
      </c>
      <c r="E33" s="3">
        <f>INDEX([1]group_data_final!D:D, MATCH(VALUE(C33), [1]group_data_final!C:C, 0))</f>
        <v>868.16399999999999</v>
      </c>
      <c r="F33" s="2">
        <v>19218069</v>
      </c>
      <c r="G33" s="2">
        <v>8429315</v>
      </c>
      <c r="H33" s="2">
        <v>0.43861404599999998</v>
      </c>
      <c r="I33">
        <f t="shared" si="1"/>
        <v>9709.3579093351036</v>
      </c>
    </row>
    <row r="34" spans="1:9" ht="15.75" thickBot="1" x14ac:dyDescent="0.3">
      <c r="A34" s="2">
        <v>2568</v>
      </c>
      <c r="B34" s="2">
        <v>44100</v>
      </c>
      <c r="C34" s="2" t="str">
        <f t="shared" si="0"/>
        <v>441</v>
      </c>
      <c r="D34" s="3" t="s">
        <v>31</v>
      </c>
      <c r="E34" s="3">
        <f>INDEX([1]group_data_final!D:D, MATCH(VALUE(C34), [1]group_data_final!C:C, 0))</f>
        <v>915.81299999999999</v>
      </c>
      <c r="F34" s="2">
        <v>29095211</v>
      </c>
      <c r="G34" s="2">
        <v>8348745</v>
      </c>
      <c r="H34" s="2">
        <v>0.28694567640000002</v>
      </c>
      <c r="I34">
        <f t="shared" si="1"/>
        <v>9116.2114973253283</v>
      </c>
    </row>
    <row r="35" spans="1:9" ht="15.75" thickBot="1" x14ac:dyDescent="0.3">
      <c r="A35" s="2">
        <v>2568</v>
      </c>
      <c r="B35" s="2">
        <v>62300</v>
      </c>
      <c r="C35" s="2" t="str">
        <f t="shared" si="0"/>
        <v>623</v>
      </c>
      <c r="D35" s="3" t="s">
        <v>33</v>
      </c>
      <c r="E35" s="3">
        <f>INDEX([1]group_data_final!D:D, MATCH(VALUE(C35), [1]group_data_final!C:C, 0))</f>
        <v>709.95100000000002</v>
      </c>
      <c r="F35" s="2">
        <v>15182208</v>
      </c>
      <c r="G35" s="2">
        <v>8334626</v>
      </c>
      <c r="H35" s="2">
        <v>0.54897324550000004</v>
      </c>
      <c r="I35">
        <f t="shared" si="1"/>
        <v>11739.720065187597</v>
      </c>
    </row>
    <row r="36" spans="1:9" ht="15.75" thickBot="1" x14ac:dyDescent="0.3">
      <c r="A36" s="2">
        <v>2568</v>
      </c>
      <c r="B36" s="2">
        <v>53600</v>
      </c>
      <c r="C36" s="2" t="str">
        <f t="shared" si="0"/>
        <v>536</v>
      </c>
      <c r="D36" s="3" t="s">
        <v>34</v>
      </c>
      <c r="E36" s="3">
        <f>INDEX([1]group_data_final!D:D, MATCH(VALUE(C36), [1]group_data_final!C:C, 0))</f>
        <v>689.76900000000001</v>
      </c>
      <c r="F36" s="2">
        <v>21140148</v>
      </c>
      <c r="G36" s="2">
        <v>8322210</v>
      </c>
      <c r="H36" s="2">
        <v>0.39366848329999998</v>
      </c>
      <c r="I36">
        <f t="shared" si="1"/>
        <v>12065.213136571809</v>
      </c>
    </row>
    <row r="37" spans="1:9" ht="15.75" thickBot="1" x14ac:dyDescent="0.3">
      <c r="A37" s="2">
        <v>2568</v>
      </c>
      <c r="B37" s="2">
        <v>53700</v>
      </c>
      <c r="C37" s="2" t="str">
        <f t="shared" si="0"/>
        <v>537</v>
      </c>
      <c r="D37" s="3" t="s">
        <v>26</v>
      </c>
      <c r="E37" s="3">
        <f>INDEX([1]group_data_final!D:D, MATCH(VALUE(C37), [1]group_data_final!C:C, 0))</f>
        <v>1000.818</v>
      </c>
      <c r="F37" s="2">
        <v>27914700</v>
      </c>
      <c r="G37" s="2">
        <v>8256250</v>
      </c>
      <c r="H37" s="2">
        <v>0.29576710480000001</v>
      </c>
      <c r="I37">
        <f t="shared" si="1"/>
        <v>8249.5019074397151</v>
      </c>
    </row>
    <row r="38" spans="1:9" ht="15.75" thickBot="1" x14ac:dyDescent="0.3">
      <c r="A38" s="2">
        <v>2568</v>
      </c>
      <c r="B38" s="2">
        <v>61900</v>
      </c>
      <c r="C38" s="2" t="str">
        <f t="shared" si="0"/>
        <v>619</v>
      </c>
      <c r="D38" s="3" t="s">
        <v>35</v>
      </c>
      <c r="E38" s="3">
        <f>INDEX([1]group_data_final!D:D, MATCH(VALUE(C38), [1]group_data_final!C:C, 0))</f>
        <v>1041.9480000000001</v>
      </c>
      <c r="F38" s="2">
        <v>23996000</v>
      </c>
      <c r="G38" s="2">
        <v>8232759</v>
      </c>
      <c r="H38" s="2">
        <v>0.34308880650000001</v>
      </c>
      <c r="I38">
        <f t="shared" si="1"/>
        <v>7901.314652938534</v>
      </c>
    </row>
    <row r="39" spans="1:9" ht="15.75" thickBot="1" x14ac:dyDescent="0.3">
      <c r="A39" s="2">
        <v>2568</v>
      </c>
      <c r="B39" s="2">
        <v>63500</v>
      </c>
      <c r="C39" s="2" t="str">
        <f t="shared" si="0"/>
        <v>635</v>
      </c>
      <c r="D39" s="3" t="s">
        <v>36</v>
      </c>
      <c r="E39" s="3">
        <f>INDEX([1]group_data_final!D:D, MATCH(VALUE(C39), [1]group_data_final!C:C, 0))</f>
        <v>883.61</v>
      </c>
      <c r="F39" s="2">
        <v>12539500</v>
      </c>
      <c r="G39" s="2">
        <v>8090592</v>
      </c>
      <c r="H39" s="2">
        <v>0.64520850110000005</v>
      </c>
      <c r="I39">
        <f t="shared" si="1"/>
        <v>9156.2929346657456</v>
      </c>
    </row>
    <row r="40" spans="1:9" ht="15.75" thickBot="1" x14ac:dyDescent="0.3">
      <c r="A40" s="2">
        <v>2568</v>
      </c>
      <c r="B40" s="2">
        <v>52300</v>
      </c>
      <c r="C40" s="2" t="str">
        <f t="shared" si="0"/>
        <v>523</v>
      </c>
      <c r="D40" s="3" t="s">
        <v>37</v>
      </c>
      <c r="E40" s="3">
        <f>INDEX([1]group_data_final!D:D, MATCH(VALUE(C40), [1]group_data_final!C:C, 0))</f>
        <v>765.85</v>
      </c>
      <c r="F40" s="2">
        <v>16212746</v>
      </c>
      <c r="G40" s="2">
        <v>8056039</v>
      </c>
      <c r="H40" s="2">
        <v>0.49689540560000001</v>
      </c>
      <c r="I40">
        <f t="shared" si="1"/>
        <v>10519.082065678658</v>
      </c>
    </row>
    <row r="41" spans="1:9" ht="15.75" thickBot="1" x14ac:dyDescent="0.3">
      <c r="A41" s="2">
        <v>2569</v>
      </c>
      <c r="B41" s="2">
        <v>63500</v>
      </c>
      <c r="C41" s="2" t="str">
        <f t="shared" si="0"/>
        <v>635</v>
      </c>
      <c r="D41" s="3" t="s">
        <v>36</v>
      </c>
      <c r="E41" s="3">
        <f>INDEX([1]group_data_final!D:D, MATCH(VALUE(C41), [1]group_data_final!C:C, 0))</f>
        <v>883.61</v>
      </c>
      <c r="F41" s="2">
        <v>13252000</v>
      </c>
      <c r="G41" s="2">
        <v>8044244</v>
      </c>
      <c r="H41" s="2">
        <v>0.60702112890000004</v>
      </c>
      <c r="I41">
        <f t="shared" si="1"/>
        <v>9103.8399293806087</v>
      </c>
    </row>
    <row r="42" spans="1:9" ht="15.75" thickBot="1" x14ac:dyDescent="0.3">
      <c r="A42" s="2">
        <v>2569</v>
      </c>
      <c r="B42" s="2">
        <v>53700</v>
      </c>
      <c r="C42" s="2" t="str">
        <f t="shared" si="0"/>
        <v>537</v>
      </c>
      <c r="D42" s="3" t="s">
        <v>26</v>
      </c>
      <c r="E42" s="3">
        <f>INDEX([1]group_data_final!D:D, MATCH(VALUE(C42), [1]group_data_final!C:C, 0))</f>
        <v>1000.818</v>
      </c>
      <c r="F42" s="2">
        <v>29214650</v>
      </c>
      <c r="G42" s="2">
        <v>8043336</v>
      </c>
      <c r="H42" s="2">
        <v>0.2753185816</v>
      </c>
      <c r="I42">
        <f t="shared" si="1"/>
        <v>8036.7619287422885</v>
      </c>
    </row>
    <row r="43" spans="1:9" ht="15.75" thickBot="1" x14ac:dyDescent="0.3">
      <c r="A43" s="2">
        <v>2569</v>
      </c>
      <c r="B43" s="2">
        <v>53600</v>
      </c>
      <c r="C43" s="2" t="str">
        <f t="shared" si="0"/>
        <v>536</v>
      </c>
      <c r="D43" s="3" t="s">
        <v>34</v>
      </c>
      <c r="E43" s="3">
        <f>INDEX([1]group_data_final!D:D, MATCH(VALUE(C43), [1]group_data_final!C:C, 0))</f>
        <v>689.76900000000001</v>
      </c>
      <c r="F43" s="2">
        <v>16864211</v>
      </c>
      <c r="G43" s="2">
        <v>8030249</v>
      </c>
      <c r="H43" s="2">
        <v>0.47617104649999997</v>
      </c>
      <c r="I43">
        <f t="shared" si="1"/>
        <v>11641.939547877622</v>
      </c>
    </row>
    <row r="44" spans="1:9" ht="15.75" thickBot="1" x14ac:dyDescent="0.3">
      <c r="A44" s="2">
        <v>2569</v>
      </c>
      <c r="B44" s="2">
        <v>61900</v>
      </c>
      <c r="C44" s="2" t="str">
        <f t="shared" si="0"/>
        <v>619</v>
      </c>
      <c r="D44" s="3" t="s">
        <v>35</v>
      </c>
      <c r="E44" s="3">
        <f>INDEX([1]group_data_final!D:D, MATCH(VALUE(C44), [1]group_data_final!C:C, 0))</f>
        <v>1041.9480000000001</v>
      </c>
      <c r="F44" s="2">
        <v>19424000</v>
      </c>
      <c r="G44" s="2">
        <v>7972813</v>
      </c>
      <c r="H44" s="2">
        <v>0.41046195429999999</v>
      </c>
      <c r="I44">
        <f t="shared" si="1"/>
        <v>7651.8338727076589</v>
      </c>
    </row>
    <row r="45" spans="1:9" ht="15.75" thickBot="1" x14ac:dyDescent="0.3">
      <c r="A45" s="2">
        <v>2568</v>
      </c>
      <c r="B45" s="2">
        <v>43200</v>
      </c>
      <c r="C45" s="2" t="str">
        <f t="shared" si="0"/>
        <v>432</v>
      </c>
      <c r="D45" s="3" t="s">
        <v>38</v>
      </c>
      <c r="E45" s="3">
        <f>INDEX([1]group_data_final!D:D, MATCH(VALUE(C45), [1]group_data_final!C:C, 0))</f>
        <v>953.30899999999997</v>
      </c>
      <c r="F45" s="2">
        <v>19388958</v>
      </c>
      <c r="G45" s="2">
        <v>7947964</v>
      </c>
      <c r="H45" s="2">
        <v>0.40992218349999998</v>
      </c>
      <c r="I45">
        <f t="shared" si="1"/>
        <v>8337.237978451898</v>
      </c>
    </row>
    <row r="46" spans="1:9" ht="15.75" thickBot="1" x14ac:dyDescent="0.3">
      <c r="A46" s="2">
        <v>2569</v>
      </c>
      <c r="B46" s="2">
        <v>51300</v>
      </c>
      <c r="C46" s="2" t="str">
        <f t="shared" si="0"/>
        <v>513</v>
      </c>
      <c r="D46" s="3" t="s">
        <v>24</v>
      </c>
      <c r="E46" s="3">
        <f>INDEX([1]group_data_final!D:D, MATCH(VALUE(C46), [1]group_data_final!C:C, 0))</f>
        <v>1003.095</v>
      </c>
      <c r="F46" s="2">
        <v>22862820</v>
      </c>
      <c r="G46" s="2">
        <v>7777294</v>
      </c>
      <c r="H46" s="2">
        <v>0.34017212219999998</v>
      </c>
      <c r="I46">
        <f t="shared" si="1"/>
        <v>7753.2975441010076</v>
      </c>
    </row>
    <row r="47" spans="1:9" ht="15.75" thickBot="1" x14ac:dyDescent="0.3">
      <c r="A47" s="2">
        <v>2569</v>
      </c>
      <c r="B47" s="2">
        <v>61500</v>
      </c>
      <c r="C47" s="2" t="str">
        <f t="shared" si="0"/>
        <v>615</v>
      </c>
      <c r="D47" s="3" t="s">
        <v>40</v>
      </c>
      <c r="E47" s="3">
        <f>INDEX([1]group_data_final!D:D, MATCH(VALUE(C47), [1]group_data_final!C:C, 0))</f>
        <v>1493.0940000000001</v>
      </c>
      <c r="F47" s="2">
        <v>19182061</v>
      </c>
      <c r="G47" s="2">
        <v>7762102</v>
      </c>
      <c r="H47" s="2">
        <v>0.40465422350000002</v>
      </c>
      <c r="I47">
        <f t="shared" si="1"/>
        <v>5198.6693403094514</v>
      </c>
    </row>
    <row r="48" spans="1:9" ht="15.75" thickBot="1" x14ac:dyDescent="0.3">
      <c r="A48" s="2">
        <v>2569</v>
      </c>
      <c r="B48" s="2">
        <v>43200</v>
      </c>
      <c r="C48" s="2" t="str">
        <f t="shared" si="0"/>
        <v>432</v>
      </c>
      <c r="D48" s="3" t="s">
        <v>38</v>
      </c>
      <c r="E48" s="3">
        <f>INDEX([1]group_data_final!D:D, MATCH(VALUE(C48), [1]group_data_final!C:C, 0))</f>
        <v>953.30899999999997</v>
      </c>
      <c r="F48" s="2">
        <v>18947639</v>
      </c>
      <c r="G48" s="2">
        <v>7690878</v>
      </c>
      <c r="H48" s="2">
        <v>0.40590165350000001</v>
      </c>
      <c r="I48">
        <f t="shared" si="1"/>
        <v>8067.5604657041949</v>
      </c>
    </row>
    <row r="49" spans="1:9" ht="15.75" thickBot="1" x14ac:dyDescent="0.3">
      <c r="A49" s="2">
        <v>2568</v>
      </c>
      <c r="B49" s="2">
        <v>42800</v>
      </c>
      <c r="C49" s="2" t="str">
        <f t="shared" ref="C49:C93" si="2">LEFT(B49,3)</f>
        <v>428</v>
      </c>
      <c r="D49" s="3" t="s">
        <v>41</v>
      </c>
      <c r="E49" s="3">
        <f>INDEX([1]group_data_final!D:D, MATCH(VALUE(C49), [1]group_data_final!C:C, 0))</f>
        <v>934.25900000000001</v>
      </c>
      <c r="F49" s="2">
        <v>33602662</v>
      </c>
      <c r="G49" s="2">
        <v>7631155</v>
      </c>
      <c r="H49" s="2">
        <v>0.22709971609999999</v>
      </c>
      <c r="I49">
        <f t="shared" ref="I49:I93" si="3">G49/E49</f>
        <v>8168.1364589476789</v>
      </c>
    </row>
    <row r="50" spans="1:9" ht="15.75" thickBot="1" x14ac:dyDescent="0.3">
      <c r="A50" s="2">
        <v>2568</v>
      </c>
      <c r="B50" s="2">
        <v>41300</v>
      </c>
      <c r="C50" s="2" t="str">
        <f t="shared" si="2"/>
        <v>413</v>
      </c>
      <c r="D50" s="3" t="s">
        <v>32</v>
      </c>
      <c r="E50" s="3">
        <f>INDEX([1]group_data_final!D:D, MATCH(VALUE(C50), [1]group_data_final!C:C, 0))</f>
        <v>915.24199999999996</v>
      </c>
      <c r="F50" s="2">
        <v>24944852</v>
      </c>
      <c r="G50" s="2">
        <v>7628043</v>
      </c>
      <c r="H50" s="2">
        <v>0.30579628209999998</v>
      </c>
      <c r="I50">
        <f t="shared" si="3"/>
        <v>8334.4547125241188</v>
      </c>
    </row>
    <row r="51" spans="1:9" ht="15.75" thickBot="1" x14ac:dyDescent="0.3">
      <c r="A51" s="2">
        <v>2568</v>
      </c>
      <c r="B51" s="2">
        <v>61100</v>
      </c>
      <c r="C51" s="2" t="str">
        <f t="shared" si="2"/>
        <v>611</v>
      </c>
      <c r="D51" s="3" t="s">
        <v>23</v>
      </c>
      <c r="E51" s="3">
        <f>INDEX([1]group_data_final!D:D, MATCH(VALUE(C51), [1]group_data_final!C:C, 0))</f>
        <v>1080.326</v>
      </c>
      <c r="F51" s="2">
        <v>13696439</v>
      </c>
      <c r="G51" s="2">
        <v>7552567</v>
      </c>
      <c r="H51" s="2">
        <v>0.55142559319999995</v>
      </c>
      <c r="I51">
        <f t="shared" si="3"/>
        <v>6991.0073440794722</v>
      </c>
    </row>
    <row r="52" spans="1:9" ht="15.75" thickBot="1" x14ac:dyDescent="0.3">
      <c r="A52" s="2">
        <v>2569</v>
      </c>
      <c r="B52" s="2">
        <v>42800</v>
      </c>
      <c r="C52" s="2" t="str">
        <f t="shared" si="2"/>
        <v>428</v>
      </c>
      <c r="D52" s="3" t="s">
        <v>41</v>
      </c>
      <c r="E52" s="3">
        <f>INDEX([1]group_data_final!D:D, MATCH(VALUE(C52), [1]group_data_final!C:C, 0))</f>
        <v>934.25900000000001</v>
      </c>
      <c r="F52" s="2">
        <v>22229900</v>
      </c>
      <c r="G52" s="2">
        <v>7507168</v>
      </c>
      <c r="H52" s="2">
        <v>0.33770588260000001</v>
      </c>
      <c r="I52">
        <f t="shared" si="3"/>
        <v>8035.424866123848</v>
      </c>
    </row>
    <row r="53" spans="1:9" ht="15.75" thickBot="1" x14ac:dyDescent="0.3">
      <c r="A53" s="2">
        <v>2569</v>
      </c>
      <c r="B53" s="2">
        <v>61700</v>
      </c>
      <c r="C53" s="2" t="str">
        <f t="shared" si="2"/>
        <v>617</v>
      </c>
      <c r="D53" s="3" t="s">
        <v>16</v>
      </c>
      <c r="E53" s="3">
        <f>INDEX([1]group_data_final!D:D, MATCH(VALUE(C53), [1]group_data_final!C:C, 0))</f>
        <v>1498.98</v>
      </c>
      <c r="F53" s="2">
        <v>11343000</v>
      </c>
      <c r="G53" s="2">
        <v>7501438</v>
      </c>
      <c r="H53" s="2">
        <v>0.66132751479999996</v>
      </c>
      <c r="I53">
        <f t="shared" si="3"/>
        <v>5004.3616325768189</v>
      </c>
    </row>
    <row r="54" spans="1:9" ht="15.75" thickBot="1" x14ac:dyDescent="0.3">
      <c r="A54" s="2">
        <v>2568</v>
      </c>
      <c r="B54" s="2">
        <v>41500</v>
      </c>
      <c r="C54" s="2" t="str">
        <f t="shared" si="2"/>
        <v>415</v>
      </c>
      <c r="D54" s="3" t="s">
        <v>42</v>
      </c>
      <c r="E54" s="3">
        <f>INDEX([1]group_data_final!D:D, MATCH(VALUE(C54), [1]group_data_final!C:C, 0))</f>
        <v>574.74300000000005</v>
      </c>
      <c r="F54" s="2">
        <v>8201288</v>
      </c>
      <c r="G54" s="2">
        <v>7476068</v>
      </c>
      <c r="H54" s="2">
        <v>0.91157242620000001</v>
      </c>
      <c r="I54">
        <f t="shared" si="3"/>
        <v>13007.67125480432</v>
      </c>
    </row>
    <row r="55" spans="1:9" ht="27" thickBot="1" x14ac:dyDescent="0.3">
      <c r="A55" s="2">
        <v>2569</v>
      </c>
      <c r="B55" s="2">
        <v>32500</v>
      </c>
      <c r="C55" s="2" t="str">
        <f t="shared" si="2"/>
        <v>325</v>
      </c>
      <c r="D55" s="3" t="s">
        <v>25</v>
      </c>
      <c r="E55" s="3">
        <f>INDEX([1]group_data_final!D:D, MATCH(VALUE(C55), [1]group_data_final!C:C, 0))</f>
        <v>837.59100000000001</v>
      </c>
      <c r="F55" s="2">
        <v>19407220</v>
      </c>
      <c r="G55" s="2">
        <v>7463894</v>
      </c>
      <c r="H55" s="2">
        <v>0.38459367179999998</v>
      </c>
      <c r="I55">
        <f t="shared" si="3"/>
        <v>8911.1439831612333</v>
      </c>
    </row>
    <row r="56" spans="1:9" ht="15.75" thickBot="1" x14ac:dyDescent="0.3">
      <c r="A56" s="2">
        <v>2568</v>
      </c>
      <c r="B56" s="2">
        <v>55100</v>
      </c>
      <c r="C56" s="2" t="str">
        <f t="shared" si="2"/>
        <v>551</v>
      </c>
      <c r="D56" s="3" t="s">
        <v>44</v>
      </c>
      <c r="E56" s="3">
        <f>INDEX([1]group_data_final!D:D, MATCH(VALUE(C56), [1]group_data_final!C:C, 0))</f>
        <v>991.51599999999996</v>
      </c>
      <c r="F56" s="2">
        <v>17916503</v>
      </c>
      <c r="G56" s="2">
        <v>7300908</v>
      </c>
      <c r="H56" s="2">
        <v>0.407496262</v>
      </c>
      <c r="I56">
        <f t="shared" si="3"/>
        <v>7363.3789066439676</v>
      </c>
    </row>
    <row r="57" spans="1:9" ht="27" thickBot="1" x14ac:dyDescent="0.3">
      <c r="A57" s="2">
        <v>2568</v>
      </c>
      <c r="B57" s="2">
        <v>62800</v>
      </c>
      <c r="C57" s="2" t="str">
        <f t="shared" si="2"/>
        <v>628</v>
      </c>
      <c r="D57" s="3" t="s">
        <v>46</v>
      </c>
      <c r="E57" s="3">
        <f>INDEX([1]group_data_final!D:D, MATCH(VALUE(C57), [1]group_data_final!C:C, 0))</f>
        <v>645.69000000000005</v>
      </c>
      <c r="F57" s="2">
        <v>14407536</v>
      </c>
      <c r="G57" s="2">
        <v>7177825</v>
      </c>
      <c r="H57" s="2">
        <v>0.49819934510000002</v>
      </c>
      <c r="I57">
        <f t="shared" si="3"/>
        <v>11116.518762873824</v>
      </c>
    </row>
    <row r="58" spans="1:9" ht="15.75" thickBot="1" x14ac:dyDescent="0.3">
      <c r="A58" s="2">
        <v>2568</v>
      </c>
      <c r="B58" s="2">
        <v>33200</v>
      </c>
      <c r="C58" s="2" t="str">
        <f t="shared" si="2"/>
        <v>332</v>
      </c>
      <c r="D58" s="3" t="s">
        <v>39</v>
      </c>
      <c r="E58" s="3">
        <f>INDEX([1]group_data_final!D:D, MATCH(VALUE(C58), [1]group_data_final!C:C, 0))</f>
        <v>661.423</v>
      </c>
      <c r="F58" s="2">
        <v>24897905</v>
      </c>
      <c r="G58" s="2">
        <v>7158137</v>
      </c>
      <c r="H58" s="2">
        <v>0.28749957069999998</v>
      </c>
      <c r="I58">
        <f t="shared" si="3"/>
        <v>10822.328525013494</v>
      </c>
    </row>
    <row r="59" spans="1:9" ht="15.75" thickBot="1" x14ac:dyDescent="0.3">
      <c r="A59" s="2">
        <v>2568</v>
      </c>
      <c r="B59" s="2">
        <v>44600</v>
      </c>
      <c r="C59" s="2" t="str">
        <f t="shared" si="2"/>
        <v>446</v>
      </c>
      <c r="D59" s="3" t="s">
        <v>28</v>
      </c>
      <c r="E59" s="3">
        <f>INDEX([1]group_data_final!D:D, MATCH(VALUE(C59), [1]group_data_final!C:C, 0))</f>
        <v>674.495</v>
      </c>
      <c r="F59" s="2">
        <v>26864400</v>
      </c>
      <c r="G59" s="2">
        <v>7137718</v>
      </c>
      <c r="H59" s="2">
        <v>0.26569430179999998</v>
      </c>
      <c r="I59">
        <f t="shared" si="3"/>
        <v>10582.314175790776</v>
      </c>
    </row>
    <row r="60" spans="1:9" ht="15.75" thickBot="1" x14ac:dyDescent="0.3">
      <c r="A60" s="2">
        <v>2569</v>
      </c>
      <c r="B60" s="2">
        <v>44100</v>
      </c>
      <c r="C60" s="2" t="str">
        <f t="shared" si="2"/>
        <v>441</v>
      </c>
      <c r="D60" s="3" t="s">
        <v>31</v>
      </c>
      <c r="E60" s="3">
        <f>INDEX([1]group_data_final!D:D, MATCH(VALUE(C60), [1]group_data_final!C:C, 0))</f>
        <v>915.81299999999999</v>
      </c>
      <c r="F60" s="2">
        <v>29726100</v>
      </c>
      <c r="G60" s="2">
        <v>7095033</v>
      </c>
      <c r="H60" s="2">
        <v>0.23868025070000001</v>
      </c>
      <c r="I60">
        <f t="shared" si="3"/>
        <v>7747.2508033845343</v>
      </c>
    </row>
    <row r="61" spans="1:9" ht="27" thickBot="1" x14ac:dyDescent="0.3">
      <c r="A61" s="2">
        <v>2569</v>
      </c>
      <c r="B61" s="2">
        <v>43500</v>
      </c>
      <c r="C61" s="2" t="str">
        <f t="shared" si="2"/>
        <v>435</v>
      </c>
      <c r="D61" s="3" t="s">
        <v>47</v>
      </c>
      <c r="E61" s="3">
        <f>INDEX([1]group_data_final!D:D, MATCH(VALUE(C61), [1]group_data_final!C:C, 0))</f>
        <v>749.25199999999995</v>
      </c>
      <c r="F61" s="2">
        <v>14044350</v>
      </c>
      <c r="G61" s="2">
        <v>7085131</v>
      </c>
      <c r="H61" s="2">
        <v>0.50448265670000003</v>
      </c>
      <c r="I61">
        <f t="shared" si="3"/>
        <v>9456.2723889959598</v>
      </c>
    </row>
    <row r="62" spans="1:9" ht="15.75" thickBot="1" x14ac:dyDescent="0.3">
      <c r="A62" s="2">
        <v>2569</v>
      </c>
      <c r="B62" s="2">
        <v>61200</v>
      </c>
      <c r="C62" s="2" t="str">
        <f t="shared" si="2"/>
        <v>612</v>
      </c>
      <c r="D62" s="3" t="s">
        <v>48</v>
      </c>
      <c r="E62" s="3">
        <f>INDEX([1]group_data_final!D:D, MATCH(VALUE(C62), [1]group_data_final!C:C, 0))</f>
        <v>1055.279</v>
      </c>
      <c r="F62" s="2">
        <v>8872400</v>
      </c>
      <c r="G62" s="2">
        <v>7077187</v>
      </c>
      <c r="H62" s="2">
        <v>0.79766320270000002</v>
      </c>
      <c r="I62">
        <f t="shared" si="3"/>
        <v>6706.4605663525954</v>
      </c>
    </row>
    <row r="63" spans="1:9" ht="15.75" thickBot="1" x14ac:dyDescent="0.3">
      <c r="A63" s="2">
        <v>2569</v>
      </c>
      <c r="B63" s="2">
        <v>41300</v>
      </c>
      <c r="C63" s="2" t="str">
        <f t="shared" si="2"/>
        <v>413</v>
      </c>
      <c r="D63" s="3" t="s">
        <v>32</v>
      </c>
      <c r="E63" s="3">
        <f>INDEX([1]group_data_final!D:D, MATCH(VALUE(C63), [1]group_data_final!C:C, 0))</f>
        <v>915.24199999999996</v>
      </c>
      <c r="F63" s="2">
        <v>23456618</v>
      </c>
      <c r="G63" s="2">
        <v>7066588</v>
      </c>
      <c r="H63" s="2">
        <v>0.30126201479999998</v>
      </c>
      <c r="I63">
        <f t="shared" si="3"/>
        <v>7721.0049363993348</v>
      </c>
    </row>
    <row r="64" spans="1:9" ht="15.75" thickBot="1" x14ac:dyDescent="0.3">
      <c r="A64" s="2">
        <v>2568</v>
      </c>
      <c r="B64" s="2">
        <v>52200</v>
      </c>
      <c r="C64" s="2" t="str">
        <f t="shared" si="2"/>
        <v>522</v>
      </c>
      <c r="D64" s="3" t="s">
        <v>29</v>
      </c>
      <c r="E64" s="3">
        <f>INDEX([1]group_data_final!D:D, MATCH(VALUE(C64), [1]group_data_final!C:C, 0))</f>
        <v>922.12800000000004</v>
      </c>
      <c r="F64" s="2">
        <v>16970644</v>
      </c>
      <c r="G64" s="2">
        <v>7051150</v>
      </c>
      <c r="H64" s="2">
        <v>0.41549100909999997</v>
      </c>
      <c r="I64">
        <f t="shared" si="3"/>
        <v>7646.6065448614509</v>
      </c>
    </row>
    <row r="65" spans="1:9" ht="15.75" thickBot="1" x14ac:dyDescent="0.3">
      <c r="A65" s="2">
        <v>2569</v>
      </c>
      <c r="B65" s="2">
        <v>44800</v>
      </c>
      <c r="C65" s="2" t="str">
        <f t="shared" si="2"/>
        <v>448</v>
      </c>
      <c r="D65" s="3" t="s">
        <v>49</v>
      </c>
      <c r="E65" s="3">
        <f>INDEX([1]group_data_final!D:D, MATCH(VALUE(C65), [1]group_data_final!C:C, 0))</f>
        <v>603.35799999999995</v>
      </c>
      <c r="F65" s="2">
        <v>15345843</v>
      </c>
      <c r="G65" s="2">
        <v>7029973</v>
      </c>
      <c r="H65" s="2">
        <v>0.45810275789999999</v>
      </c>
      <c r="I65">
        <f t="shared" si="3"/>
        <v>11651.412594181233</v>
      </c>
    </row>
    <row r="66" spans="1:9" ht="15.75" thickBot="1" x14ac:dyDescent="0.3">
      <c r="A66" s="2">
        <v>2569</v>
      </c>
      <c r="B66" s="2">
        <v>64600</v>
      </c>
      <c r="C66" s="2" t="str">
        <f t="shared" si="2"/>
        <v>646</v>
      </c>
      <c r="D66" s="3" t="s">
        <v>50</v>
      </c>
      <c r="E66" s="3">
        <f>INDEX([1]group_data_final!D:D, MATCH(VALUE(C66), [1]group_data_final!C:C, 0))</f>
        <v>678.7</v>
      </c>
      <c r="F66" s="2">
        <v>13380340</v>
      </c>
      <c r="G66" s="2">
        <v>7027097</v>
      </c>
      <c r="H66" s="2">
        <v>0.5251807503</v>
      </c>
      <c r="I66">
        <f t="shared" si="3"/>
        <v>10353.760129659642</v>
      </c>
    </row>
    <row r="67" spans="1:9" ht="15.75" thickBot="1" x14ac:dyDescent="0.3">
      <c r="A67" s="2">
        <v>2569</v>
      </c>
      <c r="B67" s="2">
        <v>52300</v>
      </c>
      <c r="C67" s="2" t="str">
        <f t="shared" si="2"/>
        <v>523</v>
      </c>
      <c r="D67" s="3" t="s">
        <v>37</v>
      </c>
      <c r="E67" s="3">
        <f>INDEX([1]group_data_final!D:D, MATCH(VALUE(C67), [1]group_data_final!C:C, 0))</f>
        <v>765.85</v>
      </c>
      <c r="F67" s="2">
        <v>14049515</v>
      </c>
      <c r="G67" s="2">
        <v>7008372</v>
      </c>
      <c r="H67" s="2">
        <v>0.49883373199999997</v>
      </c>
      <c r="I67">
        <f t="shared" si="3"/>
        <v>9151.1026963504592</v>
      </c>
    </row>
    <row r="68" spans="1:9" ht="27" thickBot="1" x14ac:dyDescent="0.3">
      <c r="A68" s="2">
        <v>2568</v>
      </c>
      <c r="B68" s="2">
        <v>32900</v>
      </c>
      <c r="C68" s="2" t="str">
        <f t="shared" si="2"/>
        <v>329</v>
      </c>
      <c r="D68" s="3" t="s">
        <v>51</v>
      </c>
      <c r="E68" s="3">
        <f>INDEX([1]group_data_final!D:D, MATCH(VALUE(C68), [1]group_data_final!C:C, 0))</f>
        <v>673.54</v>
      </c>
      <c r="F68" s="2">
        <v>13707786</v>
      </c>
      <c r="G68" s="2">
        <v>6930585</v>
      </c>
      <c r="H68" s="2">
        <v>0.50559477659999996</v>
      </c>
      <c r="I68">
        <f t="shared" si="3"/>
        <v>10289.789767497105</v>
      </c>
    </row>
    <row r="69" spans="1:9" ht="15.75" thickBot="1" x14ac:dyDescent="0.3">
      <c r="A69" s="2">
        <v>2568</v>
      </c>
      <c r="B69" s="2">
        <v>55500</v>
      </c>
      <c r="C69" s="2" t="str">
        <f t="shared" si="2"/>
        <v>555</v>
      </c>
      <c r="D69" s="3" t="s">
        <v>45</v>
      </c>
      <c r="E69" s="3">
        <f>INDEX([1]group_data_final!D:D, MATCH(VALUE(C69), [1]group_data_final!C:C, 0))</f>
        <v>575.20000000000005</v>
      </c>
      <c r="F69" s="2">
        <v>18722122</v>
      </c>
      <c r="G69" s="2">
        <v>6912113</v>
      </c>
      <c r="H69" s="2">
        <v>0.36919495559999999</v>
      </c>
      <c r="I69">
        <f t="shared" si="3"/>
        <v>12016.886300417245</v>
      </c>
    </row>
    <row r="70" spans="1:9" ht="15.75" thickBot="1" x14ac:dyDescent="0.3">
      <c r="A70" s="2">
        <v>2569</v>
      </c>
      <c r="B70" s="2">
        <v>44600</v>
      </c>
      <c r="C70" s="2" t="str">
        <f t="shared" si="2"/>
        <v>446</v>
      </c>
      <c r="D70" s="3" t="s">
        <v>28</v>
      </c>
      <c r="E70" s="3">
        <f>INDEX([1]group_data_final!D:D, MATCH(VALUE(C70), [1]group_data_final!C:C, 0))</f>
        <v>674.495</v>
      </c>
      <c r="F70" s="2">
        <v>26786300</v>
      </c>
      <c r="G70" s="2">
        <v>6865274</v>
      </c>
      <c r="H70" s="2">
        <v>0.25629795830000002</v>
      </c>
      <c r="I70">
        <f t="shared" si="3"/>
        <v>10178.391240854269</v>
      </c>
    </row>
    <row r="71" spans="1:9" ht="15.75" thickBot="1" x14ac:dyDescent="0.3">
      <c r="A71" s="2">
        <v>2568</v>
      </c>
      <c r="B71" s="2">
        <v>61800</v>
      </c>
      <c r="C71" s="2" t="str">
        <f t="shared" si="2"/>
        <v>618</v>
      </c>
      <c r="D71" s="3" t="s">
        <v>53</v>
      </c>
      <c r="E71" s="3">
        <f>INDEX([1]group_data_final!D:D, MATCH(VALUE(C71), [1]group_data_final!C:C, 0))</f>
        <v>880.74400000000003</v>
      </c>
      <c r="F71" s="2">
        <v>4942530</v>
      </c>
      <c r="G71" s="2">
        <v>6784849</v>
      </c>
      <c r="H71" s="2">
        <v>1.3727481669999999</v>
      </c>
      <c r="I71">
        <f t="shared" si="3"/>
        <v>7703.5426866376611</v>
      </c>
    </row>
    <row r="72" spans="1:9" ht="15.75" thickBot="1" x14ac:dyDescent="0.3">
      <c r="A72" s="2">
        <v>2568</v>
      </c>
      <c r="B72" s="2">
        <v>43100</v>
      </c>
      <c r="C72" s="2" t="str">
        <f t="shared" si="2"/>
        <v>431</v>
      </c>
      <c r="D72" s="3" t="s">
        <v>43</v>
      </c>
      <c r="E72" s="3">
        <f>INDEX([1]group_data_final!D:D, MATCH(VALUE(C72), [1]group_data_final!C:C, 0))</f>
        <v>861.41800000000001</v>
      </c>
      <c r="F72" s="2">
        <v>12900000</v>
      </c>
      <c r="G72" s="2">
        <v>6774571</v>
      </c>
      <c r="H72" s="2">
        <v>0.5251605426</v>
      </c>
      <c r="I72">
        <f t="shared" si="3"/>
        <v>7864.4409566551894</v>
      </c>
    </row>
    <row r="73" spans="1:9" ht="15.75" thickBot="1" x14ac:dyDescent="0.3">
      <c r="A73" s="2">
        <v>2569</v>
      </c>
      <c r="B73" s="2">
        <v>31300</v>
      </c>
      <c r="C73" s="2" t="str">
        <f t="shared" si="2"/>
        <v>313</v>
      </c>
      <c r="D73" s="3" t="s">
        <v>54</v>
      </c>
      <c r="E73" s="3">
        <f>INDEX([1]group_data_final!D:D, MATCH(VALUE(C73), [1]group_data_final!C:C, 0))</f>
        <v>536.76499999999999</v>
      </c>
      <c r="F73" s="2">
        <v>11379856</v>
      </c>
      <c r="G73" s="2">
        <v>6767893</v>
      </c>
      <c r="H73" s="2">
        <v>0.59472571529999996</v>
      </c>
      <c r="I73">
        <f t="shared" si="3"/>
        <v>12608.670461002488</v>
      </c>
    </row>
    <row r="74" spans="1:9" ht="27" thickBot="1" x14ac:dyDescent="0.3">
      <c r="A74" s="2">
        <v>2569</v>
      </c>
      <c r="B74" s="2">
        <v>51500</v>
      </c>
      <c r="C74" s="2" t="str">
        <f t="shared" si="2"/>
        <v>515</v>
      </c>
      <c r="D74" s="3" t="s">
        <v>55</v>
      </c>
      <c r="E74" s="3">
        <f>INDEX([1]group_data_final!D:D, MATCH(VALUE(C74), [1]group_data_final!C:C, 0))</f>
        <v>826.49099999999999</v>
      </c>
      <c r="F74" s="2">
        <v>16602788</v>
      </c>
      <c r="G74" s="2">
        <v>6749183</v>
      </c>
      <c r="H74" s="2">
        <v>0.40650901519999999</v>
      </c>
      <c r="I74">
        <f t="shared" si="3"/>
        <v>8166.0695639758933</v>
      </c>
    </row>
    <row r="75" spans="1:9" ht="27" thickBot="1" x14ac:dyDescent="0.3">
      <c r="A75" s="2">
        <v>2568</v>
      </c>
      <c r="B75" s="2">
        <v>43500</v>
      </c>
      <c r="C75" s="2" t="str">
        <f t="shared" si="2"/>
        <v>435</v>
      </c>
      <c r="D75" s="3" t="s">
        <v>47</v>
      </c>
      <c r="E75" s="3">
        <f>INDEX([1]group_data_final!D:D, MATCH(VALUE(C75), [1]group_data_final!C:C, 0))</f>
        <v>749.25199999999995</v>
      </c>
      <c r="F75" s="2">
        <v>15522244</v>
      </c>
      <c r="G75" s="2">
        <v>6726758</v>
      </c>
      <c r="H75" s="2">
        <v>0.43336247</v>
      </c>
      <c r="I75">
        <f t="shared" si="3"/>
        <v>8977.9646901176111</v>
      </c>
    </row>
    <row r="76" spans="1:9" ht="15.75" thickBot="1" x14ac:dyDescent="0.3">
      <c r="A76" s="2">
        <v>2569</v>
      </c>
      <c r="B76" s="2">
        <v>43100</v>
      </c>
      <c r="C76" s="2" t="str">
        <f t="shared" si="2"/>
        <v>431</v>
      </c>
      <c r="D76" s="3" t="s">
        <v>43</v>
      </c>
      <c r="E76" s="3">
        <f>INDEX([1]group_data_final!D:D, MATCH(VALUE(C76), [1]group_data_final!C:C, 0))</f>
        <v>861.41800000000001</v>
      </c>
      <c r="F76" s="2">
        <v>12860000</v>
      </c>
      <c r="G76" s="2">
        <v>6622824</v>
      </c>
      <c r="H76" s="2">
        <v>0.51499409019999998</v>
      </c>
      <c r="I76">
        <f t="shared" si="3"/>
        <v>7688.2814150621416</v>
      </c>
    </row>
    <row r="77" spans="1:9" ht="15.75" thickBot="1" x14ac:dyDescent="0.3">
      <c r="A77" s="2">
        <v>2568</v>
      </c>
      <c r="B77" s="2">
        <v>55400</v>
      </c>
      <c r="C77" s="2" t="str">
        <f t="shared" si="2"/>
        <v>554</v>
      </c>
      <c r="D77" s="3" t="s">
        <v>57</v>
      </c>
      <c r="E77" s="3">
        <f>INDEX([1]group_data_final!D:D, MATCH(VALUE(C77), [1]group_data_final!C:C, 0))</f>
        <v>813.49900000000002</v>
      </c>
      <c r="F77" s="2">
        <v>14116956</v>
      </c>
      <c r="G77" s="2">
        <v>6597334</v>
      </c>
      <c r="H77" s="2">
        <v>0.46733403429999998</v>
      </c>
      <c r="I77">
        <f t="shared" si="3"/>
        <v>8109.8243513513844</v>
      </c>
    </row>
    <row r="78" spans="1:9" ht="15.75" thickBot="1" x14ac:dyDescent="0.3">
      <c r="A78" s="2">
        <v>2569</v>
      </c>
      <c r="B78" s="2">
        <v>51100</v>
      </c>
      <c r="C78" s="2" t="str">
        <f t="shared" si="2"/>
        <v>511</v>
      </c>
      <c r="D78" s="3" t="s">
        <v>60</v>
      </c>
      <c r="E78" s="3">
        <f>INDEX([1]group_data_final!D:D, MATCH(VALUE(C78), [1]group_data_final!C:C, 0))</f>
        <v>774.96500000000003</v>
      </c>
      <c r="F78" s="2">
        <v>15741940</v>
      </c>
      <c r="G78" s="2">
        <v>6493887</v>
      </c>
      <c r="H78" s="2">
        <v>0.41252139189999998</v>
      </c>
      <c r="I78">
        <f t="shared" si="3"/>
        <v>8379.5874652403654</v>
      </c>
    </row>
    <row r="79" spans="1:9" ht="15.75" thickBot="1" x14ac:dyDescent="0.3">
      <c r="A79" s="2">
        <v>2568</v>
      </c>
      <c r="B79" s="2">
        <v>61500</v>
      </c>
      <c r="C79" s="2" t="str">
        <f t="shared" si="2"/>
        <v>615</v>
      </c>
      <c r="D79" s="3" t="s">
        <v>40</v>
      </c>
      <c r="E79" s="3">
        <f>INDEX([1]group_data_final!D:D, MATCH(VALUE(C79), [1]group_data_final!C:C, 0))</f>
        <v>1493.0940000000001</v>
      </c>
      <c r="F79" s="2">
        <v>16015178</v>
      </c>
      <c r="G79" s="2">
        <v>6471299</v>
      </c>
      <c r="H79" s="2">
        <v>0.40407287390000002</v>
      </c>
      <c r="I79">
        <f t="shared" si="3"/>
        <v>4334.1537773241334</v>
      </c>
    </row>
    <row r="80" spans="1:9" ht="15.75" thickBot="1" x14ac:dyDescent="0.3">
      <c r="A80" s="2">
        <v>2568</v>
      </c>
      <c r="B80" s="2">
        <v>64600</v>
      </c>
      <c r="C80" s="2" t="str">
        <f t="shared" si="2"/>
        <v>646</v>
      </c>
      <c r="D80" s="3" t="s">
        <v>50</v>
      </c>
      <c r="E80" s="3">
        <f>INDEX([1]group_data_final!D:D, MATCH(VALUE(C80), [1]group_data_final!C:C, 0))</f>
        <v>678.7</v>
      </c>
      <c r="F80" s="2">
        <v>13072737</v>
      </c>
      <c r="G80" s="2">
        <v>6470360</v>
      </c>
      <c r="H80" s="2">
        <v>0.49495067479999999</v>
      </c>
      <c r="I80">
        <f t="shared" si="3"/>
        <v>9533.4610284367172</v>
      </c>
    </row>
    <row r="81" spans="1:9" ht="15.75" thickBot="1" x14ac:dyDescent="0.3">
      <c r="A81" s="2">
        <v>2568</v>
      </c>
      <c r="B81" s="2">
        <v>51100</v>
      </c>
      <c r="C81" s="2" t="str">
        <f t="shared" si="2"/>
        <v>511</v>
      </c>
      <c r="D81" s="3" t="s">
        <v>60</v>
      </c>
      <c r="E81" s="3">
        <f>INDEX([1]group_data_final!D:D, MATCH(VALUE(C81), [1]group_data_final!C:C, 0))</f>
        <v>774.96500000000003</v>
      </c>
      <c r="F81" s="2">
        <v>13501200</v>
      </c>
      <c r="G81" s="2">
        <v>6418524</v>
      </c>
      <c r="H81" s="2">
        <v>0.47540396410000002</v>
      </c>
      <c r="I81">
        <f t="shared" si="3"/>
        <v>8282.3404927964493</v>
      </c>
    </row>
    <row r="82" spans="1:9" ht="27" thickBot="1" x14ac:dyDescent="0.3">
      <c r="A82" s="2">
        <v>2569</v>
      </c>
      <c r="B82" s="2">
        <v>43800</v>
      </c>
      <c r="C82" s="2" t="str">
        <f t="shared" si="2"/>
        <v>438</v>
      </c>
      <c r="D82" s="3" t="s">
        <v>61</v>
      </c>
      <c r="E82" s="3">
        <f>INDEX([1]group_data_final!D:D, MATCH(VALUE(C82), [1]group_data_final!C:C, 0))</f>
        <v>841.38699999999994</v>
      </c>
      <c r="F82" s="2">
        <v>13652085</v>
      </c>
      <c r="G82" s="2">
        <v>6400073</v>
      </c>
      <c r="H82" s="2">
        <v>0.46879820919999998</v>
      </c>
      <c r="I82">
        <f t="shared" si="3"/>
        <v>7606.5746202401515</v>
      </c>
    </row>
    <row r="83" spans="1:9" ht="15.75" thickBot="1" x14ac:dyDescent="0.3">
      <c r="A83" s="2">
        <v>2569</v>
      </c>
      <c r="B83" s="2">
        <v>55400</v>
      </c>
      <c r="C83" s="2" t="str">
        <f t="shared" si="2"/>
        <v>554</v>
      </c>
      <c r="D83" s="3" t="s">
        <v>57</v>
      </c>
      <c r="E83" s="3">
        <f>INDEX([1]group_data_final!D:D, MATCH(VALUE(C83), [1]group_data_final!C:C, 0))</f>
        <v>813.49900000000002</v>
      </c>
      <c r="F83" s="2">
        <v>13579200</v>
      </c>
      <c r="G83" s="2">
        <v>6312326</v>
      </c>
      <c r="H83" s="2">
        <v>0.46485256860000002</v>
      </c>
      <c r="I83">
        <f t="shared" si="3"/>
        <v>7759.476041150634</v>
      </c>
    </row>
    <row r="84" spans="1:9" ht="15.75" thickBot="1" x14ac:dyDescent="0.3">
      <c r="A84" s="2">
        <v>2569</v>
      </c>
      <c r="B84" s="2">
        <v>52100</v>
      </c>
      <c r="C84" s="2" t="str">
        <f t="shared" si="2"/>
        <v>521</v>
      </c>
      <c r="D84" s="3" t="s">
        <v>63</v>
      </c>
      <c r="E84" s="3">
        <f>INDEX([1]group_data_final!D:D, MATCH(VALUE(C84), [1]group_data_final!C:C, 0))</f>
        <v>760.61199999999997</v>
      </c>
      <c r="F84" s="2">
        <v>12813063</v>
      </c>
      <c r="G84" s="2">
        <v>6311756</v>
      </c>
      <c r="H84" s="2">
        <v>0.49260321280000002</v>
      </c>
      <c r="I84">
        <f t="shared" si="3"/>
        <v>8298.2598223535788</v>
      </c>
    </row>
    <row r="85" spans="1:9" ht="15.75" thickBot="1" x14ac:dyDescent="0.3">
      <c r="A85" s="2">
        <v>2569</v>
      </c>
      <c r="B85" s="2">
        <v>62300</v>
      </c>
      <c r="C85" s="2" t="str">
        <f t="shared" si="2"/>
        <v>623</v>
      </c>
      <c r="D85" s="3" t="s">
        <v>33</v>
      </c>
      <c r="E85" s="3">
        <f>INDEX([1]group_data_final!D:D, MATCH(VALUE(C85), [1]group_data_final!C:C, 0))</f>
        <v>709.95100000000002</v>
      </c>
      <c r="F85" s="2">
        <v>12585800</v>
      </c>
      <c r="G85" s="2">
        <v>6209558</v>
      </c>
      <c r="H85" s="2">
        <v>0.4933780928</v>
      </c>
      <c r="I85">
        <f t="shared" si="3"/>
        <v>8746.4599669554664</v>
      </c>
    </row>
    <row r="86" spans="1:9" ht="27" thickBot="1" x14ac:dyDescent="0.3">
      <c r="A86" s="2">
        <v>2569</v>
      </c>
      <c r="B86" s="2">
        <v>32600</v>
      </c>
      <c r="C86" s="2" t="str">
        <f t="shared" si="2"/>
        <v>326</v>
      </c>
      <c r="D86" s="3" t="s">
        <v>64</v>
      </c>
      <c r="E86" s="3">
        <f>INDEX([1]group_data_final!D:D, MATCH(VALUE(C86), [1]group_data_final!C:C, 0))</f>
        <v>796.76300000000003</v>
      </c>
      <c r="F86" s="2">
        <v>26917860</v>
      </c>
      <c r="G86" s="2">
        <v>6187087</v>
      </c>
      <c r="H86" s="2">
        <v>0.22985062710000001</v>
      </c>
      <c r="I86">
        <f t="shared" si="3"/>
        <v>7765.2790101950013</v>
      </c>
    </row>
    <row r="87" spans="1:9" ht="27" thickBot="1" x14ac:dyDescent="0.3">
      <c r="A87" s="2">
        <v>2568</v>
      </c>
      <c r="B87" s="2">
        <v>44500</v>
      </c>
      <c r="C87" s="2" t="str">
        <f t="shared" si="2"/>
        <v>445</v>
      </c>
      <c r="D87" s="3" t="s">
        <v>56</v>
      </c>
      <c r="E87" s="3">
        <f>INDEX([1]group_data_final!D:D, MATCH(VALUE(C87), [1]group_data_final!C:C, 0))</f>
        <v>1050.7570000000001</v>
      </c>
      <c r="F87" s="2">
        <v>20673970</v>
      </c>
      <c r="G87" s="2">
        <v>6177597</v>
      </c>
      <c r="H87" s="2">
        <v>0.29881038809999999</v>
      </c>
      <c r="I87">
        <f t="shared" si="3"/>
        <v>5879.1871003476535</v>
      </c>
    </row>
    <row r="88" spans="1:9" ht="27" thickBot="1" x14ac:dyDescent="0.3">
      <c r="A88" s="2">
        <v>2568</v>
      </c>
      <c r="B88" s="2">
        <v>43800</v>
      </c>
      <c r="C88" s="2" t="str">
        <f t="shared" si="2"/>
        <v>438</v>
      </c>
      <c r="D88" s="3" t="s">
        <v>61</v>
      </c>
      <c r="E88" s="3">
        <f>INDEX([1]group_data_final!D:D, MATCH(VALUE(C88), [1]group_data_final!C:C, 0))</f>
        <v>841.38699999999994</v>
      </c>
      <c r="F88" s="2">
        <v>12794000</v>
      </c>
      <c r="G88" s="2">
        <v>6123755</v>
      </c>
      <c r="H88" s="2">
        <v>0.47864272320000001</v>
      </c>
      <c r="I88">
        <f t="shared" si="3"/>
        <v>7278.1668839665936</v>
      </c>
    </row>
    <row r="89" spans="1:9" ht="15.75" thickBot="1" x14ac:dyDescent="0.3">
      <c r="A89" s="2">
        <v>2568</v>
      </c>
      <c r="B89" s="2">
        <v>55800</v>
      </c>
      <c r="C89" s="2" t="str">
        <f t="shared" si="2"/>
        <v>558</v>
      </c>
      <c r="D89" s="3" t="s">
        <v>52</v>
      </c>
      <c r="E89" s="3">
        <f>INDEX([1]group_data_final!D:D, MATCH(VALUE(C89), [1]group_data_final!C:C, 0))</f>
        <v>556.34</v>
      </c>
      <c r="F89" s="2">
        <v>8592004</v>
      </c>
      <c r="G89" s="2">
        <v>6079603</v>
      </c>
      <c r="H89" s="2">
        <v>0.70758847410000003</v>
      </c>
      <c r="I89">
        <f t="shared" si="3"/>
        <v>10927.855268361074</v>
      </c>
    </row>
    <row r="90" spans="1:9" ht="15.75" thickBot="1" x14ac:dyDescent="0.3">
      <c r="A90" s="2">
        <v>2568</v>
      </c>
      <c r="B90" s="2">
        <v>61200</v>
      </c>
      <c r="C90" s="2" t="str">
        <f t="shared" si="2"/>
        <v>612</v>
      </c>
      <c r="D90" s="3" t="s">
        <v>48</v>
      </c>
      <c r="E90" s="3">
        <f>INDEX([1]group_data_final!D:D, MATCH(VALUE(C90), [1]group_data_final!C:C, 0))</f>
        <v>1055.279</v>
      </c>
      <c r="F90" s="2">
        <v>9223618</v>
      </c>
      <c r="G90" s="2">
        <v>6052285</v>
      </c>
      <c r="H90" s="2">
        <v>0.65617255610000003</v>
      </c>
      <c r="I90">
        <f t="shared" si="3"/>
        <v>5735.246318746038</v>
      </c>
    </row>
    <row r="91" spans="1:9" ht="15.75" thickBot="1" x14ac:dyDescent="0.3">
      <c r="A91" s="2">
        <v>2569</v>
      </c>
      <c r="B91" s="2">
        <v>55700</v>
      </c>
      <c r="C91" s="2" t="str">
        <f t="shared" si="2"/>
        <v>557</v>
      </c>
      <c r="D91" s="3" t="s">
        <v>59</v>
      </c>
      <c r="E91" s="3">
        <f>INDEX([1]group_data_final!D:D, MATCH(VALUE(C91), [1]group_data_final!C:C, 0))</f>
        <v>590.94799999999998</v>
      </c>
      <c r="F91" s="2">
        <v>18067724</v>
      </c>
      <c r="G91" s="2">
        <v>6032981</v>
      </c>
      <c r="H91" s="2">
        <v>0.33390929590000001</v>
      </c>
      <c r="I91">
        <f t="shared" si="3"/>
        <v>10208.987931256219</v>
      </c>
    </row>
    <row r="92" spans="1:9" ht="15.75" thickBot="1" x14ac:dyDescent="0.3">
      <c r="A92" s="2">
        <v>2568</v>
      </c>
      <c r="B92" s="2">
        <v>64700</v>
      </c>
      <c r="C92" s="2" t="str">
        <f t="shared" si="2"/>
        <v>647</v>
      </c>
      <c r="D92" s="3" t="s">
        <v>65</v>
      </c>
      <c r="E92" s="3">
        <f>INDEX([1]group_data_final!D:D, MATCH(VALUE(C92), [1]group_data_final!C:C, 0))</f>
        <v>945.15800000000002</v>
      </c>
      <c r="F92" s="2">
        <v>10773796</v>
      </c>
      <c r="G92" s="2">
        <v>6015500</v>
      </c>
      <c r="H92" s="2">
        <v>0.55834545219999998</v>
      </c>
      <c r="I92">
        <f t="shared" si="3"/>
        <v>6364.5443407345647</v>
      </c>
    </row>
    <row r="93" spans="1:9" ht="15.75" thickBot="1" x14ac:dyDescent="0.3">
      <c r="A93" s="2">
        <v>2569</v>
      </c>
      <c r="B93" s="2">
        <v>62600</v>
      </c>
      <c r="C93" s="2" t="str">
        <f t="shared" si="2"/>
        <v>626</v>
      </c>
      <c r="D93" s="3" t="s">
        <v>62</v>
      </c>
      <c r="E93" s="3">
        <f>INDEX([1]group_data_final!D:D, MATCH(VALUE(C93), [1]group_data_final!C:C, 0))</f>
        <v>830.04300000000001</v>
      </c>
      <c r="F93" s="2">
        <v>22709345</v>
      </c>
      <c r="G93" s="2">
        <v>5992891</v>
      </c>
      <c r="H93" s="2">
        <v>0.26389536990000001</v>
      </c>
      <c r="I93">
        <f t="shared" si="3"/>
        <v>7219.9765554314654</v>
      </c>
    </row>
    <row r="94" spans="1:9" ht="15.75" thickBot="1" x14ac:dyDescent="0.3">
      <c r="A94" s="2">
        <v>2569</v>
      </c>
      <c r="B94" s="2">
        <v>55100</v>
      </c>
      <c r="C94" s="2" t="str">
        <f t="shared" ref="C94:C133" si="4">LEFT(B94,3)</f>
        <v>551</v>
      </c>
      <c r="D94" s="3" t="s">
        <v>44</v>
      </c>
      <c r="E94" s="3">
        <f>INDEX([1]group_data_final!D:D, MATCH(VALUE(C94), [1]group_data_final!C:C, 0))</f>
        <v>991.51599999999996</v>
      </c>
      <c r="F94" s="2">
        <v>15159900</v>
      </c>
      <c r="G94" s="2">
        <v>5983287</v>
      </c>
      <c r="H94" s="2">
        <v>0.39467852689999999</v>
      </c>
      <c r="I94">
        <f t="shared" ref="I94:I133" si="5">G94/E94</f>
        <v>6034.4835585104029</v>
      </c>
    </row>
    <row r="95" spans="1:9" ht="27" thickBot="1" x14ac:dyDescent="0.3">
      <c r="A95" s="2">
        <v>2568</v>
      </c>
      <c r="B95" s="2">
        <v>32600</v>
      </c>
      <c r="C95" s="2" t="str">
        <f t="shared" si="4"/>
        <v>326</v>
      </c>
      <c r="D95" s="3" t="s">
        <v>64</v>
      </c>
      <c r="E95" s="3">
        <f>INDEX([1]group_data_final!D:D, MATCH(VALUE(C95), [1]group_data_final!C:C, 0))</f>
        <v>796.76300000000003</v>
      </c>
      <c r="F95" s="2">
        <v>27462560</v>
      </c>
      <c r="G95" s="2">
        <v>5974721</v>
      </c>
      <c r="H95" s="2">
        <v>0.2175587782</v>
      </c>
      <c r="I95">
        <f t="shared" si="5"/>
        <v>7498.7430390216414</v>
      </c>
    </row>
    <row r="96" spans="1:9" ht="15.75" thickBot="1" x14ac:dyDescent="0.3">
      <c r="A96" s="2">
        <v>2568</v>
      </c>
      <c r="B96" s="2">
        <v>51400</v>
      </c>
      <c r="C96" s="2" t="str">
        <f t="shared" si="4"/>
        <v>514</v>
      </c>
      <c r="D96" s="3" t="s">
        <v>66</v>
      </c>
      <c r="E96" s="3">
        <f>INDEX([1]group_data_final!D:D, MATCH(VALUE(C96), [1]group_data_final!C:C, 0))</f>
        <v>838.37300000000005</v>
      </c>
      <c r="F96" s="2">
        <v>24815789</v>
      </c>
      <c r="G96" s="2">
        <v>5970947</v>
      </c>
      <c r="H96" s="2">
        <v>0.24061080630000001</v>
      </c>
      <c r="I96">
        <f t="shared" si="5"/>
        <v>7122.0649997077671</v>
      </c>
    </row>
    <row r="97" spans="1:9" ht="15.75" thickBot="1" x14ac:dyDescent="0.3">
      <c r="A97" s="2">
        <v>2568</v>
      </c>
      <c r="B97" s="2">
        <v>31300</v>
      </c>
      <c r="C97" s="2" t="str">
        <f t="shared" si="4"/>
        <v>313</v>
      </c>
      <c r="D97" s="3" t="s">
        <v>54</v>
      </c>
      <c r="E97" s="3">
        <f>INDEX([1]group_data_final!D:D, MATCH(VALUE(C97), [1]group_data_final!C:C, 0))</f>
        <v>536.76499999999999</v>
      </c>
      <c r="F97" s="2">
        <v>11309379</v>
      </c>
      <c r="G97" s="2">
        <v>5955107</v>
      </c>
      <c r="H97" s="2">
        <v>0.52656357170000001</v>
      </c>
      <c r="I97">
        <f t="shared" si="5"/>
        <v>11094.439838663102</v>
      </c>
    </row>
    <row r="98" spans="1:9" ht="15.75" thickBot="1" x14ac:dyDescent="0.3">
      <c r="A98" s="2">
        <v>2568</v>
      </c>
      <c r="B98" s="2">
        <v>62600</v>
      </c>
      <c r="C98" s="2" t="str">
        <f t="shared" si="4"/>
        <v>626</v>
      </c>
      <c r="D98" s="3" t="s">
        <v>62</v>
      </c>
      <c r="E98" s="3">
        <f>INDEX([1]group_data_final!D:D, MATCH(VALUE(C98), [1]group_data_final!C:C, 0))</f>
        <v>830.04300000000001</v>
      </c>
      <c r="F98" s="2">
        <v>19873651</v>
      </c>
      <c r="G98" s="2">
        <v>5953856</v>
      </c>
      <c r="H98" s="2">
        <v>0.29958541589999999</v>
      </c>
      <c r="I98">
        <f t="shared" si="5"/>
        <v>7172.9488713235341</v>
      </c>
    </row>
    <row r="99" spans="1:9" ht="15.75" thickBot="1" x14ac:dyDescent="0.3">
      <c r="A99" s="2">
        <v>2569</v>
      </c>
      <c r="B99" s="2">
        <v>55800</v>
      </c>
      <c r="C99" s="2" t="str">
        <f t="shared" si="4"/>
        <v>558</v>
      </c>
      <c r="D99" s="3" t="s">
        <v>52</v>
      </c>
      <c r="E99" s="3">
        <f>INDEX([1]group_data_final!D:D, MATCH(VALUE(C99), [1]group_data_final!C:C, 0))</f>
        <v>556.34</v>
      </c>
      <c r="F99" s="2">
        <v>11456402</v>
      </c>
      <c r="G99" s="2">
        <v>5943819</v>
      </c>
      <c r="H99" s="2">
        <v>0.51882074320000005</v>
      </c>
      <c r="I99">
        <f t="shared" si="5"/>
        <v>10683.788690369198</v>
      </c>
    </row>
    <row r="100" spans="1:9" ht="15.75" thickBot="1" x14ac:dyDescent="0.3">
      <c r="A100" s="2">
        <v>2568</v>
      </c>
      <c r="B100" s="2">
        <v>52100</v>
      </c>
      <c r="C100" s="2" t="str">
        <f t="shared" si="4"/>
        <v>521</v>
      </c>
      <c r="D100" s="3" t="s">
        <v>63</v>
      </c>
      <c r="E100" s="3">
        <f>INDEX([1]group_data_final!D:D, MATCH(VALUE(C100), [1]group_data_final!C:C, 0))</f>
        <v>760.61199999999997</v>
      </c>
      <c r="F100" s="2">
        <v>13362753</v>
      </c>
      <c r="G100" s="2">
        <v>5936330</v>
      </c>
      <c r="H100" s="2">
        <v>0.44424453549999998</v>
      </c>
      <c r="I100">
        <f t="shared" si="5"/>
        <v>7804.6757085084118</v>
      </c>
    </row>
    <row r="101" spans="1:9" ht="15.75" thickBot="1" x14ac:dyDescent="0.3">
      <c r="A101" s="2">
        <v>2568</v>
      </c>
      <c r="B101" s="2">
        <v>41600</v>
      </c>
      <c r="C101" s="2" t="str">
        <f t="shared" si="4"/>
        <v>416</v>
      </c>
      <c r="D101" s="3" t="s">
        <v>67</v>
      </c>
      <c r="E101" s="3">
        <f>INDEX([1]group_data_final!D:D, MATCH(VALUE(C101), [1]group_data_final!C:C, 0))</f>
        <v>623.46900000000005</v>
      </c>
      <c r="F101" s="2">
        <v>9115001</v>
      </c>
      <c r="G101" s="2">
        <v>5932087</v>
      </c>
      <c r="H101" s="2">
        <v>0.65080486550000005</v>
      </c>
      <c r="I101">
        <f t="shared" si="5"/>
        <v>9514.646277521415</v>
      </c>
    </row>
    <row r="102" spans="1:9" ht="15.75" thickBot="1" x14ac:dyDescent="0.3">
      <c r="A102" s="2">
        <v>2568</v>
      </c>
      <c r="B102" s="2">
        <v>63400</v>
      </c>
      <c r="C102" s="2" t="str">
        <f t="shared" si="4"/>
        <v>634</v>
      </c>
      <c r="D102" s="3" t="s">
        <v>69</v>
      </c>
      <c r="E102" s="3">
        <f>INDEX([1]group_data_final!D:D, MATCH(VALUE(C102), [1]group_data_final!C:C, 0))</f>
        <v>762.27499999999998</v>
      </c>
      <c r="F102" s="2">
        <v>10159626</v>
      </c>
      <c r="G102" s="2">
        <v>5928198</v>
      </c>
      <c r="H102" s="2">
        <v>0.58350553459999999</v>
      </c>
      <c r="I102">
        <f t="shared" si="5"/>
        <v>7776.9807484175662</v>
      </c>
    </row>
    <row r="103" spans="1:9" ht="27" thickBot="1" x14ac:dyDescent="0.3">
      <c r="A103" s="2">
        <v>2568</v>
      </c>
      <c r="B103" s="2">
        <v>32800</v>
      </c>
      <c r="C103" s="2" t="str">
        <f t="shared" si="4"/>
        <v>328</v>
      </c>
      <c r="D103" s="3" t="s">
        <v>70</v>
      </c>
      <c r="E103" s="3">
        <f>INDEX([1]group_data_final!D:D, MATCH(VALUE(C103), [1]group_data_final!C:C, 0))</f>
        <v>604.32600000000002</v>
      </c>
      <c r="F103" s="2">
        <v>15455125</v>
      </c>
      <c r="G103" s="2">
        <v>5907670</v>
      </c>
      <c r="H103" s="2">
        <v>0.3822466658</v>
      </c>
      <c r="I103">
        <f t="shared" si="5"/>
        <v>9775.6343430532525</v>
      </c>
    </row>
    <row r="104" spans="1:9" ht="15.75" thickBot="1" x14ac:dyDescent="0.3">
      <c r="A104" s="2">
        <v>2568</v>
      </c>
      <c r="B104" s="2">
        <v>42500</v>
      </c>
      <c r="C104" s="2" t="str">
        <f t="shared" si="4"/>
        <v>425</v>
      </c>
      <c r="D104" s="3" t="s">
        <v>71</v>
      </c>
      <c r="E104" s="3">
        <f>INDEX([1]group_data_final!D:D, MATCH(VALUE(C104), [1]group_data_final!C:C, 0))</f>
        <v>677.55799999999999</v>
      </c>
      <c r="F104" s="2">
        <v>14196821</v>
      </c>
      <c r="G104" s="2">
        <v>5891785</v>
      </c>
      <c r="H104" s="2">
        <v>0.41500734569999997</v>
      </c>
      <c r="I104">
        <f t="shared" si="5"/>
        <v>8695.6172017746085</v>
      </c>
    </row>
    <row r="105" spans="1:9" ht="27" thickBot="1" x14ac:dyDescent="0.3">
      <c r="A105" s="2">
        <v>2569</v>
      </c>
      <c r="B105" s="2">
        <v>62800</v>
      </c>
      <c r="C105" s="2" t="str">
        <f t="shared" si="4"/>
        <v>628</v>
      </c>
      <c r="D105" s="3" t="s">
        <v>46</v>
      </c>
      <c r="E105" s="3">
        <f>INDEX([1]group_data_final!D:D, MATCH(VALUE(C105), [1]group_data_final!C:C, 0))</f>
        <v>645.69000000000005</v>
      </c>
      <c r="F105" s="2">
        <v>12876426</v>
      </c>
      <c r="G105" s="2">
        <v>5887866</v>
      </c>
      <c r="H105" s="2">
        <v>0.4572593358</v>
      </c>
      <c r="I105">
        <f t="shared" si="5"/>
        <v>9118.7195093620776</v>
      </c>
    </row>
    <row r="106" spans="1:9" ht="15.75" thickBot="1" x14ac:dyDescent="0.3">
      <c r="A106" s="2">
        <v>2569</v>
      </c>
      <c r="B106" s="2">
        <v>51700</v>
      </c>
      <c r="C106" s="2" t="str">
        <f t="shared" si="4"/>
        <v>517</v>
      </c>
      <c r="D106" s="3" t="s">
        <v>68</v>
      </c>
      <c r="E106" s="3">
        <f>INDEX([1]group_data_final!D:D, MATCH(VALUE(C106), [1]group_data_final!C:C, 0))</f>
        <v>884.94</v>
      </c>
      <c r="F106" s="2">
        <v>17805890</v>
      </c>
      <c r="G106" s="2">
        <v>5848741</v>
      </c>
      <c r="H106" s="2">
        <v>0.32847226400000001</v>
      </c>
      <c r="I106">
        <f t="shared" si="5"/>
        <v>6609.194973670531</v>
      </c>
    </row>
    <row r="107" spans="1:9" ht="15.75" thickBot="1" x14ac:dyDescent="0.3">
      <c r="A107" s="2">
        <v>2569</v>
      </c>
      <c r="B107" s="2">
        <v>55500</v>
      </c>
      <c r="C107" s="2" t="str">
        <f t="shared" si="4"/>
        <v>555</v>
      </c>
      <c r="D107" s="3" t="s">
        <v>45</v>
      </c>
      <c r="E107" s="3">
        <f>INDEX([1]group_data_final!D:D, MATCH(VALUE(C107), [1]group_data_final!C:C, 0))</f>
        <v>575.20000000000005</v>
      </c>
      <c r="F107" s="2">
        <v>16405371</v>
      </c>
      <c r="G107" s="2">
        <v>5839100</v>
      </c>
      <c r="H107" s="2">
        <v>0.35592611709999999</v>
      </c>
      <c r="I107">
        <f t="shared" si="5"/>
        <v>10151.425591098747</v>
      </c>
    </row>
    <row r="108" spans="1:9" ht="27" thickBot="1" x14ac:dyDescent="0.3">
      <c r="A108" s="2">
        <v>2569</v>
      </c>
      <c r="B108" s="2">
        <v>44500</v>
      </c>
      <c r="C108" s="2" t="str">
        <f t="shared" si="4"/>
        <v>445</v>
      </c>
      <c r="D108" s="3" t="s">
        <v>56</v>
      </c>
      <c r="E108" s="3">
        <f>INDEX([1]group_data_final!D:D, MATCH(VALUE(C108), [1]group_data_final!C:C, 0))</f>
        <v>1050.7570000000001</v>
      </c>
      <c r="F108" s="2">
        <v>18866140</v>
      </c>
      <c r="G108" s="2">
        <v>5837399</v>
      </c>
      <c r="H108" s="2">
        <v>0.30941141109999998</v>
      </c>
      <c r="I108">
        <f t="shared" si="5"/>
        <v>5555.4224240238227</v>
      </c>
    </row>
    <row r="109" spans="1:9" ht="15.75" thickBot="1" x14ac:dyDescent="0.3">
      <c r="A109" s="2">
        <v>2569</v>
      </c>
      <c r="B109" s="2">
        <v>53100</v>
      </c>
      <c r="C109" s="2" t="str">
        <f t="shared" si="4"/>
        <v>531</v>
      </c>
      <c r="D109" s="3" t="s">
        <v>30</v>
      </c>
      <c r="E109" s="3">
        <f>INDEX([1]group_data_final!D:D, MATCH(VALUE(C109), [1]group_data_final!C:C, 0))</f>
        <v>868.16399999999999</v>
      </c>
      <c r="F109" s="2">
        <v>14366762</v>
      </c>
      <c r="G109" s="2">
        <v>5796457</v>
      </c>
      <c r="H109" s="2">
        <v>0.4034630072</v>
      </c>
      <c r="I109">
        <f t="shared" si="5"/>
        <v>6676.6843591763773</v>
      </c>
    </row>
    <row r="110" spans="1:9" ht="15.75" thickBot="1" x14ac:dyDescent="0.3">
      <c r="A110" s="2">
        <v>2568</v>
      </c>
      <c r="B110" s="2">
        <v>44700</v>
      </c>
      <c r="C110" s="2" t="str">
        <f t="shared" si="4"/>
        <v>447</v>
      </c>
      <c r="D110" s="3" t="s">
        <v>74</v>
      </c>
      <c r="E110" s="3">
        <f>INDEX([1]group_data_final!D:D, MATCH(VALUE(C110), [1]group_data_final!C:C, 0))</f>
        <v>547.51199999999994</v>
      </c>
      <c r="F110" s="2">
        <v>11016079</v>
      </c>
      <c r="G110" s="2">
        <v>5679954</v>
      </c>
      <c r="H110" s="2">
        <v>0.51560577949999997</v>
      </c>
      <c r="I110">
        <f t="shared" si="5"/>
        <v>10374.117827554466</v>
      </c>
    </row>
    <row r="111" spans="1:9" ht="15.75" thickBot="1" x14ac:dyDescent="0.3">
      <c r="A111" s="2">
        <v>2569</v>
      </c>
      <c r="B111" s="2">
        <v>33600</v>
      </c>
      <c r="C111" s="2" t="str">
        <f t="shared" si="4"/>
        <v>336</v>
      </c>
      <c r="D111" s="3" t="s">
        <v>76</v>
      </c>
      <c r="E111" s="3">
        <f>INDEX([1]group_data_final!D:D, MATCH(VALUE(C111), [1]group_data_final!C:C, 0))</f>
        <v>600.327</v>
      </c>
      <c r="F111" s="2">
        <v>8660800</v>
      </c>
      <c r="G111" s="2">
        <v>5645107</v>
      </c>
      <c r="H111" s="2">
        <v>0.65179971830000005</v>
      </c>
      <c r="I111">
        <f t="shared" si="5"/>
        <v>9403.3868208493041</v>
      </c>
    </row>
    <row r="112" spans="1:9" ht="15.75" thickBot="1" x14ac:dyDescent="0.3">
      <c r="A112" s="2">
        <v>2568</v>
      </c>
      <c r="B112" s="2">
        <v>32700</v>
      </c>
      <c r="C112" s="2" t="str">
        <f t="shared" si="4"/>
        <v>327</v>
      </c>
      <c r="D112" s="3" t="s">
        <v>77</v>
      </c>
      <c r="E112" s="3">
        <f>INDEX([1]group_data_final!D:D, MATCH(VALUE(C112), [1]group_data_final!C:C, 0))</f>
        <v>631.11</v>
      </c>
      <c r="F112" s="2">
        <v>20970224</v>
      </c>
      <c r="G112" s="2">
        <v>5643858</v>
      </c>
      <c r="H112" s="2">
        <v>0.26913675310000001</v>
      </c>
      <c r="I112">
        <f t="shared" si="5"/>
        <v>8942.7484907543858</v>
      </c>
    </row>
    <row r="113" spans="1:9" ht="15.75" thickBot="1" x14ac:dyDescent="0.3">
      <c r="A113" s="2">
        <v>2568</v>
      </c>
      <c r="B113" s="2">
        <v>51700</v>
      </c>
      <c r="C113" s="2" t="str">
        <f t="shared" si="4"/>
        <v>517</v>
      </c>
      <c r="D113" s="3" t="s">
        <v>68</v>
      </c>
      <c r="E113" s="3">
        <f>INDEX([1]group_data_final!D:D, MATCH(VALUE(C113), [1]group_data_final!C:C, 0))</f>
        <v>884.94</v>
      </c>
      <c r="F113" s="2">
        <v>30586526</v>
      </c>
      <c r="G113" s="2">
        <v>5615823</v>
      </c>
      <c r="H113" s="2">
        <v>0.1836044734</v>
      </c>
      <c r="I113">
        <f t="shared" si="5"/>
        <v>6345.9929486744859</v>
      </c>
    </row>
    <row r="114" spans="1:9" ht="15.75" thickBot="1" x14ac:dyDescent="0.3">
      <c r="A114" s="2">
        <v>2568</v>
      </c>
      <c r="B114" s="2">
        <v>63300</v>
      </c>
      <c r="C114" s="2" t="str">
        <f t="shared" si="4"/>
        <v>633</v>
      </c>
      <c r="D114" s="3" t="s">
        <v>78</v>
      </c>
      <c r="E114" s="3">
        <f>INDEX([1]group_data_final!D:D, MATCH(VALUE(C114), [1]group_data_final!C:C, 0))</f>
        <v>714.72400000000005</v>
      </c>
      <c r="F114" s="2">
        <v>6604000</v>
      </c>
      <c r="G114" s="2">
        <v>5550380</v>
      </c>
      <c r="H114" s="2">
        <v>0.84045729859999996</v>
      </c>
      <c r="I114">
        <f t="shared" si="5"/>
        <v>7765.7669254145649</v>
      </c>
    </row>
    <row r="115" spans="1:9" ht="15.75" thickBot="1" x14ac:dyDescent="0.3">
      <c r="A115" s="2">
        <v>2568</v>
      </c>
      <c r="B115" s="2">
        <v>32200</v>
      </c>
      <c r="C115" s="2" t="str">
        <f t="shared" si="4"/>
        <v>322</v>
      </c>
      <c r="D115" s="3" t="s">
        <v>79</v>
      </c>
      <c r="E115" s="3">
        <f>INDEX([1]group_data_final!D:D, MATCH(VALUE(C115), [1]group_data_final!C:C, 0))</f>
        <v>781.68499999999995</v>
      </c>
      <c r="F115" s="2">
        <v>10307381</v>
      </c>
      <c r="G115" s="2">
        <v>5546848</v>
      </c>
      <c r="H115" s="2">
        <v>0.53814329750000001</v>
      </c>
      <c r="I115">
        <f t="shared" si="5"/>
        <v>7096.0143791936653</v>
      </c>
    </row>
    <row r="116" spans="1:9" ht="15.75" thickBot="1" x14ac:dyDescent="0.3">
      <c r="A116" s="2">
        <v>2569</v>
      </c>
      <c r="B116" s="2">
        <v>63400</v>
      </c>
      <c r="C116" s="2" t="str">
        <f t="shared" si="4"/>
        <v>634</v>
      </c>
      <c r="D116" s="3" t="s">
        <v>69</v>
      </c>
      <c r="E116" s="3">
        <f>INDEX([1]group_data_final!D:D, MATCH(VALUE(C116), [1]group_data_final!C:C, 0))</f>
        <v>762.27499999999998</v>
      </c>
      <c r="F116" s="2">
        <v>6794792</v>
      </c>
      <c r="G116" s="2">
        <v>5522135</v>
      </c>
      <c r="H116" s="2">
        <v>0.8127011099</v>
      </c>
      <c r="I116">
        <f t="shared" si="5"/>
        <v>7244.2819192548623</v>
      </c>
    </row>
    <row r="117" spans="1:9" ht="15.75" thickBot="1" x14ac:dyDescent="0.3">
      <c r="A117" s="2">
        <v>2569</v>
      </c>
      <c r="B117" s="2">
        <v>63300</v>
      </c>
      <c r="C117" s="2" t="str">
        <f t="shared" si="4"/>
        <v>633</v>
      </c>
      <c r="D117" s="3" t="s">
        <v>78</v>
      </c>
      <c r="E117" s="3">
        <f>INDEX([1]group_data_final!D:D, MATCH(VALUE(C117), [1]group_data_final!C:C, 0))</f>
        <v>714.72400000000005</v>
      </c>
      <c r="F117" s="2">
        <v>7872000</v>
      </c>
      <c r="G117" s="2">
        <v>5518470</v>
      </c>
      <c r="H117" s="2">
        <v>0.70102515239999996</v>
      </c>
      <c r="I117">
        <f t="shared" si="5"/>
        <v>7721.1203205712973</v>
      </c>
    </row>
    <row r="118" spans="1:9" ht="15.75" thickBot="1" x14ac:dyDescent="0.3">
      <c r="A118" s="2">
        <v>2568</v>
      </c>
      <c r="B118" s="2">
        <v>31800</v>
      </c>
      <c r="C118" s="2" t="str">
        <f t="shared" si="4"/>
        <v>318</v>
      </c>
      <c r="D118" s="3" t="s">
        <v>80</v>
      </c>
      <c r="E118" s="3">
        <f>INDEX([1]group_data_final!D:D, MATCH(VALUE(C118), [1]group_data_final!C:C, 0))</f>
        <v>518.55200000000002</v>
      </c>
      <c r="F118" s="2">
        <v>11034876</v>
      </c>
      <c r="G118" s="2">
        <v>5489650</v>
      </c>
      <c r="H118" s="2">
        <v>0.49748180219999999</v>
      </c>
      <c r="I118">
        <f t="shared" si="5"/>
        <v>10586.498557521714</v>
      </c>
    </row>
    <row r="119" spans="1:9" ht="27" thickBot="1" x14ac:dyDescent="0.3">
      <c r="A119" s="2">
        <v>2568</v>
      </c>
      <c r="B119" s="2">
        <v>51500</v>
      </c>
      <c r="C119" s="2" t="str">
        <f t="shared" si="4"/>
        <v>515</v>
      </c>
      <c r="D119" s="3" t="s">
        <v>55</v>
      </c>
      <c r="E119" s="3">
        <f>INDEX([1]group_data_final!D:D, MATCH(VALUE(C119), [1]group_data_final!C:C, 0))</f>
        <v>826.49099999999999</v>
      </c>
      <c r="F119" s="2">
        <v>13571500</v>
      </c>
      <c r="G119" s="2">
        <v>5485025</v>
      </c>
      <c r="H119" s="2">
        <v>0.40415760969999998</v>
      </c>
      <c r="I119">
        <f t="shared" si="5"/>
        <v>6636.5211478406909</v>
      </c>
    </row>
    <row r="120" spans="1:9" ht="27" thickBot="1" x14ac:dyDescent="0.3">
      <c r="A120" s="2">
        <v>2569</v>
      </c>
      <c r="B120" s="2">
        <v>32800</v>
      </c>
      <c r="C120" s="2" t="str">
        <f t="shared" si="4"/>
        <v>328</v>
      </c>
      <c r="D120" s="3" t="s">
        <v>70</v>
      </c>
      <c r="E120" s="3">
        <f>INDEX([1]group_data_final!D:D, MATCH(VALUE(C120), [1]group_data_final!C:C, 0))</f>
        <v>604.32600000000002</v>
      </c>
      <c r="F120" s="2">
        <v>16033941</v>
      </c>
      <c r="G120" s="2">
        <v>5479045</v>
      </c>
      <c r="H120" s="2">
        <v>0.34171542729999999</v>
      </c>
      <c r="I120">
        <f t="shared" si="5"/>
        <v>9066.3731164967248</v>
      </c>
    </row>
    <row r="121" spans="1:9" ht="15.75" thickBot="1" x14ac:dyDescent="0.3">
      <c r="A121" s="2">
        <v>2569</v>
      </c>
      <c r="B121" s="2">
        <v>33500</v>
      </c>
      <c r="C121" s="2" t="str">
        <f t="shared" si="4"/>
        <v>335</v>
      </c>
      <c r="D121" s="3" t="s">
        <v>81</v>
      </c>
      <c r="E121" s="3">
        <f>INDEX([1]group_data_final!D:D, MATCH(VALUE(C121), [1]group_data_final!C:C, 0))</f>
        <v>631.80200000000002</v>
      </c>
      <c r="F121" s="2">
        <v>12879024</v>
      </c>
      <c r="G121" s="2">
        <v>5436602</v>
      </c>
      <c r="H121" s="2">
        <v>0.4221284159</v>
      </c>
      <c r="I121">
        <f t="shared" si="5"/>
        <v>8604.9141978024763</v>
      </c>
    </row>
    <row r="122" spans="1:9" ht="15.75" thickBot="1" x14ac:dyDescent="0.3">
      <c r="A122" s="2">
        <v>2568</v>
      </c>
      <c r="B122" s="2">
        <v>33500</v>
      </c>
      <c r="C122" s="2" t="str">
        <f t="shared" si="4"/>
        <v>335</v>
      </c>
      <c r="D122" s="3" t="s">
        <v>81</v>
      </c>
      <c r="E122" s="3">
        <f>INDEX([1]group_data_final!D:D, MATCH(VALUE(C122), [1]group_data_final!C:C, 0))</f>
        <v>631.80200000000002</v>
      </c>
      <c r="F122" s="2">
        <v>12681264</v>
      </c>
      <c r="G122" s="2">
        <v>5417055</v>
      </c>
      <c r="H122" s="2">
        <v>0.42716995720000001</v>
      </c>
      <c r="I122">
        <f t="shared" si="5"/>
        <v>8573.9757075792731</v>
      </c>
    </row>
    <row r="123" spans="1:9" ht="15.75" thickBot="1" x14ac:dyDescent="0.3">
      <c r="A123" s="2">
        <v>2569</v>
      </c>
      <c r="B123" s="2">
        <v>64700</v>
      </c>
      <c r="C123" s="2" t="str">
        <f t="shared" si="4"/>
        <v>647</v>
      </c>
      <c r="D123" s="3" t="s">
        <v>65</v>
      </c>
      <c r="E123" s="3">
        <f>INDEX([1]group_data_final!D:D, MATCH(VALUE(C123), [1]group_data_final!C:C, 0))</f>
        <v>945.15800000000002</v>
      </c>
      <c r="F123" s="2">
        <v>9452600</v>
      </c>
      <c r="G123" s="2">
        <v>5328959</v>
      </c>
      <c r="H123" s="2">
        <v>0.56375589780000002</v>
      </c>
      <c r="I123">
        <f t="shared" si="5"/>
        <v>5638.1673751901799</v>
      </c>
    </row>
    <row r="124" spans="1:9" ht="27" thickBot="1" x14ac:dyDescent="0.3">
      <c r="A124" s="2">
        <v>2569</v>
      </c>
      <c r="B124" s="2">
        <v>62400</v>
      </c>
      <c r="C124" s="2" t="str">
        <f t="shared" si="4"/>
        <v>624</v>
      </c>
      <c r="D124" s="3" t="s">
        <v>58</v>
      </c>
      <c r="E124" s="3">
        <f>INDEX([1]group_data_final!D:D, MATCH(VALUE(C124), [1]group_data_final!C:C, 0))</f>
        <v>679.35299999999995</v>
      </c>
      <c r="F124" s="2">
        <v>6608650</v>
      </c>
      <c r="G124" s="2">
        <v>5321233</v>
      </c>
      <c r="H124" s="2">
        <v>0.80519213460000005</v>
      </c>
      <c r="I124">
        <f t="shared" si="5"/>
        <v>7832.7953214308327</v>
      </c>
    </row>
    <row r="125" spans="1:9" ht="27" thickBot="1" x14ac:dyDescent="0.3">
      <c r="A125" s="2">
        <v>2569</v>
      </c>
      <c r="B125" s="2">
        <v>55200</v>
      </c>
      <c r="C125" s="2" t="str">
        <f t="shared" si="4"/>
        <v>552</v>
      </c>
      <c r="D125" s="3" t="s">
        <v>82</v>
      </c>
      <c r="E125" s="3">
        <f>INDEX([1]group_data_final!D:D, MATCH(VALUE(C125), [1]group_data_final!C:C, 0))</f>
        <v>780.41499999999996</v>
      </c>
      <c r="F125" s="2">
        <v>11927000</v>
      </c>
      <c r="G125" s="2">
        <v>5281814</v>
      </c>
      <c r="H125" s="2">
        <v>0.44284514130000002</v>
      </c>
      <c r="I125">
        <f t="shared" si="5"/>
        <v>6767.9555108499972</v>
      </c>
    </row>
    <row r="126" spans="1:9" ht="15.75" thickBot="1" x14ac:dyDescent="0.3">
      <c r="A126" s="2">
        <v>2569</v>
      </c>
      <c r="B126" s="2">
        <v>33700</v>
      </c>
      <c r="C126" s="2" t="str">
        <f t="shared" si="4"/>
        <v>337</v>
      </c>
      <c r="D126" s="3" t="s">
        <v>83</v>
      </c>
      <c r="E126" s="3">
        <f>INDEX([1]group_data_final!D:D, MATCH(VALUE(C126), [1]group_data_final!C:C, 0))</f>
        <v>527.11</v>
      </c>
      <c r="F126" s="2">
        <v>9013752</v>
      </c>
      <c r="G126" s="2">
        <v>5272798</v>
      </c>
      <c r="H126" s="2">
        <v>0.58497260630000003</v>
      </c>
      <c r="I126">
        <f t="shared" si="5"/>
        <v>10003.22133899945</v>
      </c>
    </row>
    <row r="127" spans="1:9" ht="15.75" thickBot="1" x14ac:dyDescent="0.3">
      <c r="A127" s="2">
        <v>2568</v>
      </c>
      <c r="B127" s="2">
        <v>64100</v>
      </c>
      <c r="C127" s="2" t="str">
        <f t="shared" si="4"/>
        <v>641</v>
      </c>
      <c r="D127" s="3" t="s">
        <v>84</v>
      </c>
      <c r="E127" s="3">
        <f>INDEX([1]group_data_final!D:D, MATCH(VALUE(C127), [1]group_data_final!C:C, 0))</f>
        <v>753.79899999999998</v>
      </c>
      <c r="F127" s="2">
        <v>11451670</v>
      </c>
      <c r="G127" s="2">
        <v>5251595</v>
      </c>
      <c r="H127" s="2">
        <v>0.45858769939999999</v>
      </c>
      <c r="I127">
        <f t="shared" si="5"/>
        <v>6966.8373133952155</v>
      </c>
    </row>
    <row r="128" spans="1:9" ht="15.75" thickBot="1" x14ac:dyDescent="0.3">
      <c r="A128" s="2">
        <v>2568</v>
      </c>
      <c r="B128" s="2">
        <v>63900</v>
      </c>
      <c r="C128" s="2" t="str">
        <f t="shared" si="4"/>
        <v>639</v>
      </c>
      <c r="D128" s="3" t="s">
        <v>75</v>
      </c>
      <c r="E128" s="3">
        <f>INDEX([1]group_data_final!D:D, MATCH(VALUE(C128), [1]group_data_final!C:C, 0))</f>
        <v>744.57500000000005</v>
      </c>
      <c r="F128" s="2">
        <v>9599900</v>
      </c>
      <c r="G128" s="2">
        <v>5193879</v>
      </c>
      <c r="H128" s="2">
        <v>0.54103469829999995</v>
      </c>
      <c r="I128">
        <f t="shared" si="5"/>
        <v>6975.6290501292679</v>
      </c>
    </row>
    <row r="129" spans="1:9" ht="15.75" thickBot="1" x14ac:dyDescent="0.3">
      <c r="A129" s="2">
        <v>2569</v>
      </c>
      <c r="B129" s="2">
        <v>43300</v>
      </c>
      <c r="C129" s="2" t="str">
        <f t="shared" si="4"/>
        <v>433</v>
      </c>
      <c r="D129" s="3" t="s">
        <v>85</v>
      </c>
      <c r="E129" s="3">
        <f>INDEX([1]group_data_final!D:D, MATCH(VALUE(C129), [1]group_data_final!C:C, 0))</f>
        <v>585.39499999999998</v>
      </c>
      <c r="F129" s="2">
        <v>13201079</v>
      </c>
      <c r="G129" s="2">
        <v>5173547</v>
      </c>
      <c r="H129" s="2">
        <v>0.39190334370000002</v>
      </c>
      <c r="I129">
        <f t="shared" si="5"/>
        <v>8837.7027477173542</v>
      </c>
    </row>
    <row r="130" spans="1:9" ht="15.75" thickBot="1" x14ac:dyDescent="0.3">
      <c r="A130" s="2">
        <v>2569</v>
      </c>
      <c r="B130" s="2">
        <v>41400</v>
      </c>
      <c r="C130" s="2" t="str">
        <f t="shared" si="4"/>
        <v>414</v>
      </c>
      <c r="D130" s="3" t="s">
        <v>73</v>
      </c>
      <c r="E130" s="3">
        <f>INDEX([1]group_data_final!D:D, MATCH(VALUE(C130), [1]group_data_final!C:C, 0))</f>
        <v>554.83000000000004</v>
      </c>
      <c r="F130" s="2">
        <v>8943882</v>
      </c>
      <c r="G130" s="2">
        <v>5154904</v>
      </c>
      <c r="H130" s="2">
        <v>0.57636091349999996</v>
      </c>
      <c r="I130">
        <f t="shared" si="5"/>
        <v>9290.9611953210879</v>
      </c>
    </row>
    <row r="131" spans="1:9" ht="15.75" thickBot="1" x14ac:dyDescent="0.3">
      <c r="A131" s="2">
        <v>2569</v>
      </c>
      <c r="B131" s="2">
        <v>64100</v>
      </c>
      <c r="C131" s="2" t="str">
        <f t="shared" si="4"/>
        <v>641</v>
      </c>
      <c r="D131" s="3" t="s">
        <v>84</v>
      </c>
      <c r="E131" s="3">
        <f>INDEX([1]group_data_final!D:D, MATCH(VALUE(C131), [1]group_data_final!C:C, 0))</f>
        <v>753.79899999999998</v>
      </c>
      <c r="F131" s="2">
        <v>18672649</v>
      </c>
      <c r="G131" s="2">
        <v>5144372</v>
      </c>
      <c r="H131" s="2">
        <v>0.27550306330000002</v>
      </c>
      <c r="I131">
        <f t="shared" si="5"/>
        <v>6824.5938240830783</v>
      </c>
    </row>
    <row r="132" spans="1:9" ht="15.75" thickBot="1" x14ac:dyDescent="0.3">
      <c r="A132" s="2">
        <v>2568</v>
      </c>
      <c r="B132" s="2">
        <v>32300</v>
      </c>
      <c r="C132" s="2" t="str">
        <f t="shared" si="4"/>
        <v>323</v>
      </c>
      <c r="D132" s="3" t="s">
        <v>87</v>
      </c>
      <c r="E132" s="3">
        <f>INDEX([1]group_data_final!D:D, MATCH(VALUE(C132), [1]group_data_final!C:C, 0))</f>
        <v>752.71199999999999</v>
      </c>
      <c r="F132" s="2">
        <v>14976000</v>
      </c>
      <c r="G132" s="2">
        <v>5077028</v>
      </c>
      <c r="H132" s="2">
        <v>0.3390109509</v>
      </c>
      <c r="I132">
        <f t="shared" si="5"/>
        <v>6744.9808160358807</v>
      </c>
    </row>
    <row r="133" spans="1:9" ht="15.75" thickBot="1" x14ac:dyDescent="0.3">
      <c r="A133" s="2">
        <v>2569</v>
      </c>
      <c r="B133" s="2">
        <v>53500</v>
      </c>
      <c r="C133" s="2" t="str">
        <f t="shared" si="4"/>
        <v>535</v>
      </c>
      <c r="D133" s="3" t="s">
        <v>88</v>
      </c>
      <c r="E133" s="3">
        <f>INDEX([1]group_data_final!D:D, MATCH(VALUE(C133), [1]group_data_final!C:C, 0))</f>
        <v>731.81200000000001</v>
      </c>
      <c r="F133" s="2">
        <v>21385399</v>
      </c>
      <c r="G133" s="2">
        <v>5060007</v>
      </c>
      <c r="H133" s="2">
        <v>0.2366103621</v>
      </c>
      <c r="I133">
        <f t="shared" si="5"/>
        <v>6914.3536864659227</v>
      </c>
    </row>
    <row r="134" spans="1:9" ht="15.75" thickBot="1" x14ac:dyDescent="0.3">
      <c r="A134" s="2">
        <v>2568</v>
      </c>
      <c r="B134" s="2">
        <v>44800</v>
      </c>
      <c r="C134" s="2" t="str">
        <f t="shared" ref="C134:C172" si="6">LEFT(B134,3)</f>
        <v>448</v>
      </c>
      <c r="D134" s="3" t="s">
        <v>49</v>
      </c>
      <c r="E134" s="3">
        <f>INDEX([1]group_data_final!D:D, MATCH(VALUE(C134), [1]group_data_final!C:C, 0))</f>
        <v>603.35799999999995</v>
      </c>
      <c r="F134" s="2">
        <v>11735781</v>
      </c>
      <c r="G134" s="2">
        <v>5033994</v>
      </c>
      <c r="H134" s="2">
        <v>0.42894409839999997</v>
      </c>
      <c r="I134">
        <f t="shared" ref="I134:I172" si="7">G134/E134</f>
        <v>8343.2953569854053</v>
      </c>
    </row>
    <row r="135" spans="1:9" ht="15.75" thickBot="1" x14ac:dyDescent="0.3">
      <c r="A135" s="2">
        <v>2569</v>
      </c>
      <c r="B135" s="2">
        <v>51400</v>
      </c>
      <c r="C135" s="2" t="str">
        <f t="shared" si="6"/>
        <v>514</v>
      </c>
      <c r="D135" s="3" t="s">
        <v>66</v>
      </c>
      <c r="E135" s="3">
        <f>INDEX([1]group_data_final!D:D, MATCH(VALUE(C135), [1]group_data_final!C:C, 0))</f>
        <v>838.37300000000005</v>
      </c>
      <c r="F135" s="2">
        <v>23058856</v>
      </c>
      <c r="G135" s="2">
        <v>5029663</v>
      </c>
      <c r="H135" s="2">
        <v>0.2181228332</v>
      </c>
      <c r="I135">
        <f t="shared" si="7"/>
        <v>5999.3141477600066</v>
      </c>
    </row>
    <row r="136" spans="1:9" ht="15.75" thickBot="1" x14ac:dyDescent="0.3">
      <c r="A136" s="2">
        <v>2569</v>
      </c>
      <c r="B136" s="2">
        <v>32700</v>
      </c>
      <c r="C136" s="2" t="str">
        <f t="shared" si="6"/>
        <v>327</v>
      </c>
      <c r="D136" s="3" t="s">
        <v>77</v>
      </c>
      <c r="E136" s="3">
        <f>INDEX([1]group_data_final!D:D, MATCH(VALUE(C136), [1]group_data_final!C:C, 0))</f>
        <v>631.11</v>
      </c>
      <c r="F136" s="2">
        <v>20343972</v>
      </c>
      <c r="G136" s="2">
        <v>4942759</v>
      </c>
      <c r="H136" s="2">
        <v>0.2429593887</v>
      </c>
      <c r="I136">
        <f t="shared" si="7"/>
        <v>7831.8502321306905</v>
      </c>
    </row>
    <row r="137" spans="1:9" ht="15.75" thickBot="1" x14ac:dyDescent="0.3">
      <c r="A137" s="2">
        <v>2568</v>
      </c>
      <c r="B137" s="2">
        <v>42100</v>
      </c>
      <c r="C137" s="2" t="str">
        <f t="shared" si="6"/>
        <v>421</v>
      </c>
      <c r="D137" s="3" t="s">
        <v>89</v>
      </c>
      <c r="E137" s="3">
        <f>INDEX([1]group_data_final!D:D, MATCH(VALUE(C137), [1]group_data_final!C:C, 0))</f>
        <v>955.31600000000003</v>
      </c>
      <c r="F137" s="2">
        <v>4816403</v>
      </c>
      <c r="G137" s="2">
        <v>4882560</v>
      </c>
      <c r="H137" s="2">
        <v>1.013735769</v>
      </c>
      <c r="I137">
        <f t="shared" si="7"/>
        <v>5110.9371140020685</v>
      </c>
    </row>
    <row r="138" spans="1:9" ht="15.75" thickBot="1" x14ac:dyDescent="0.3">
      <c r="A138" s="2">
        <v>2568</v>
      </c>
      <c r="B138" s="2">
        <v>41400</v>
      </c>
      <c r="C138" s="2" t="str">
        <f t="shared" si="6"/>
        <v>414</v>
      </c>
      <c r="D138" s="3" t="s">
        <v>73</v>
      </c>
      <c r="E138" s="3">
        <f>INDEX([1]group_data_final!D:D, MATCH(VALUE(C138), [1]group_data_final!C:C, 0))</f>
        <v>554.83000000000004</v>
      </c>
      <c r="F138" s="2">
        <v>11293215</v>
      </c>
      <c r="G138" s="2">
        <v>4847968</v>
      </c>
      <c r="H138" s="2">
        <v>0.42928147560000002</v>
      </c>
      <c r="I138">
        <f t="shared" si="7"/>
        <v>8737.7539066020217</v>
      </c>
    </row>
    <row r="139" spans="1:9" ht="15.75" thickBot="1" x14ac:dyDescent="0.3">
      <c r="A139" s="2">
        <v>2569</v>
      </c>
      <c r="B139" s="2">
        <v>33200</v>
      </c>
      <c r="C139" s="2" t="str">
        <f t="shared" si="6"/>
        <v>332</v>
      </c>
      <c r="D139" s="3" t="s">
        <v>39</v>
      </c>
      <c r="E139" s="3">
        <f>INDEX([1]group_data_final!D:D, MATCH(VALUE(C139), [1]group_data_final!C:C, 0))</f>
        <v>661.423</v>
      </c>
      <c r="F139" s="2">
        <v>24432057</v>
      </c>
      <c r="G139" s="2">
        <v>4821468</v>
      </c>
      <c r="H139" s="2">
        <v>0.19734187750000001</v>
      </c>
      <c r="I139">
        <f t="shared" si="7"/>
        <v>7289.53786003813</v>
      </c>
    </row>
    <row r="140" spans="1:9" ht="15.75" thickBot="1" x14ac:dyDescent="0.3">
      <c r="A140" s="2">
        <v>2568</v>
      </c>
      <c r="B140" s="2">
        <v>42300</v>
      </c>
      <c r="C140" s="2" t="str">
        <f t="shared" si="6"/>
        <v>423</v>
      </c>
      <c r="D140" s="3" t="s">
        <v>91</v>
      </c>
      <c r="E140" s="3">
        <f>INDEX([1]group_data_final!D:D, MATCH(VALUE(C140), [1]group_data_final!C:C, 0))</f>
        <v>770.64400000000001</v>
      </c>
      <c r="F140" s="2">
        <v>9811860</v>
      </c>
      <c r="G140" s="2">
        <v>4785898</v>
      </c>
      <c r="H140" s="2">
        <v>0.48776664159999999</v>
      </c>
      <c r="I140">
        <f t="shared" si="7"/>
        <v>6210.2579141601054</v>
      </c>
    </row>
    <row r="141" spans="1:9" ht="15.75" thickBot="1" x14ac:dyDescent="0.3">
      <c r="A141" s="2">
        <v>2568</v>
      </c>
      <c r="B141" s="2">
        <v>33700</v>
      </c>
      <c r="C141" s="2" t="str">
        <f t="shared" si="6"/>
        <v>337</v>
      </c>
      <c r="D141" s="3" t="s">
        <v>83</v>
      </c>
      <c r="E141" s="3">
        <f>INDEX([1]group_data_final!D:D, MATCH(VALUE(C141), [1]group_data_final!C:C, 0))</f>
        <v>527.11</v>
      </c>
      <c r="F141" s="2">
        <v>8016323</v>
      </c>
      <c r="G141" s="2">
        <v>4780515</v>
      </c>
      <c r="H141" s="2">
        <v>0.59634760229999995</v>
      </c>
      <c r="I141">
        <f t="shared" si="7"/>
        <v>9069.2929369581307</v>
      </c>
    </row>
    <row r="142" spans="1:9" ht="15.75" thickBot="1" x14ac:dyDescent="0.3">
      <c r="A142" s="2">
        <v>2568</v>
      </c>
      <c r="B142" s="2">
        <v>33800</v>
      </c>
      <c r="C142" s="2" t="str">
        <f t="shared" si="6"/>
        <v>338</v>
      </c>
      <c r="D142" s="3" t="s">
        <v>92</v>
      </c>
      <c r="E142" s="3">
        <f>INDEX([1]group_data_final!D:D, MATCH(VALUE(C142), [1]group_data_final!C:C, 0))</f>
        <v>711.86900000000003</v>
      </c>
      <c r="F142" s="2">
        <v>11322920</v>
      </c>
      <c r="G142" s="2">
        <v>4754046</v>
      </c>
      <c r="H142" s="2">
        <v>0.41986042470000001</v>
      </c>
      <c r="I142">
        <f t="shared" si="7"/>
        <v>6678.2596236105237</v>
      </c>
    </row>
    <row r="143" spans="1:9" ht="15.75" thickBot="1" x14ac:dyDescent="0.3">
      <c r="A143" s="2">
        <v>2569</v>
      </c>
      <c r="B143" s="2">
        <v>32200</v>
      </c>
      <c r="C143" s="2" t="str">
        <f t="shared" si="6"/>
        <v>322</v>
      </c>
      <c r="D143" s="3" t="s">
        <v>79</v>
      </c>
      <c r="E143" s="3">
        <f>INDEX([1]group_data_final!D:D, MATCH(VALUE(C143), [1]group_data_final!C:C, 0))</f>
        <v>781.68499999999995</v>
      </c>
      <c r="F143" s="2">
        <v>8124044</v>
      </c>
      <c r="G143" s="2">
        <v>4743397</v>
      </c>
      <c r="H143" s="2">
        <v>0.58387140689999995</v>
      </c>
      <c r="I143">
        <f t="shared" si="7"/>
        <v>6068.1694032762562</v>
      </c>
    </row>
    <row r="144" spans="1:9" ht="15.75" thickBot="1" x14ac:dyDescent="0.3">
      <c r="A144" s="2">
        <v>2569</v>
      </c>
      <c r="B144" s="2">
        <v>41500</v>
      </c>
      <c r="C144" s="2" t="str">
        <f t="shared" si="6"/>
        <v>415</v>
      </c>
      <c r="D144" s="3" t="s">
        <v>42</v>
      </c>
      <c r="E144" s="3">
        <f>INDEX([1]group_data_final!D:D, MATCH(VALUE(C144), [1]group_data_final!C:C, 0))</f>
        <v>574.74300000000005</v>
      </c>
      <c r="F144" s="2">
        <v>7486743</v>
      </c>
      <c r="G144" s="2">
        <v>4724673</v>
      </c>
      <c r="H144" s="2">
        <v>0.63107188270000003</v>
      </c>
      <c r="I144">
        <f t="shared" si="7"/>
        <v>8220.496813358317</v>
      </c>
    </row>
    <row r="145" spans="1:9" ht="27" thickBot="1" x14ac:dyDescent="0.3">
      <c r="A145" s="2">
        <v>2568</v>
      </c>
      <c r="B145" s="2">
        <v>62700</v>
      </c>
      <c r="C145" s="2" t="str">
        <f t="shared" si="6"/>
        <v>627</v>
      </c>
      <c r="D145" s="3" t="s">
        <v>27</v>
      </c>
      <c r="E145" s="3">
        <f>INDEX([1]group_data_final!D:D, MATCH(VALUE(C145), [1]group_data_final!C:C, 0))</f>
        <v>687.24599999999998</v>
      </c>
      <c r="F145" s="2">
        <v>11073783</v>
      </c>
      <c r="G145" s="2">
        <v>4707329</v>
      </c>
      <c r="H145" s="2">
        <v>0.42508770489999997</v>
      </c>
      <c r="I145">
        <f t="shared" si="7"/>
        <v>6849.5545990809696</v>
      </c>
    </row>
    <row r="146" spans="1:9" ht="15.75" thickBot="1" x14ac:dyDescent="0.3">
      <c r="A146" s="2">
        <v>2569</v>
      </c>
      <c r="B146" s="2">
        <v>52600</v>
      </c>
      <c r="C146" s="2" t="str">
        <f t="shared" si="6"/>
        <v>526</v>
      </c>
      <c r="D146" s="3" t="s">
        <v>93</v>
      </c>
      <c r="E146" s="3">
        <f>INDEX([1]group_data_final!D:D, MATCH(VALUE(C146), [1]group_data_final!C:C, 0))</f>
        <v>621.27700000000004</v>
      </c>
      <c r="F146" s="2">
        <v>9416266</v>
      </c>
      <c r="G146" s="2">
        <v>4676940</v>
      </c>
      <c r="H146" s="2">
        <v>0.49668732809999999</v>
      </c>
      <c r="I146">
        <f t="shared" si="7"/>
        <v>7527.9464715416789</v>
      </c>
    </row>
    <row r="147" spans="1:9" ht="15.75" thickBot="1" x14ac:dyDescent="0.3">
      <c r="A147" s="2">
        <v>2568</v>
      </c>
      <c r="B147" s="2">
        <v>52600</v>
      </c>
      <c r="C147" s="2" t="str">
        <f t="shared" si="6"/>
        <v>526</v>
      </c>
      <c r="D147" s="3" t="s">
        <v>93</v>
      </c>
      <c r="E147" s="3">
        <f>INDEX([1]group_data_final!D:D, MATCH(VALUE(C147), [1]group_data_final!C:C, 0))</f>
        <v>621.27700000000004</v>
      </c>
      <c r="F147" s="2">
        <v>6924700</v>
      </c>
      <c r="G147" s="2">
        <v>4644122</v>
      </c>
      <c r="H147" s="2">
        <v>0.67066038959999996</v>
      </c>
      <c r="I147">
        <f t="shared" si="7"/>
        <v>7475.1230127624231</v>
      </c>
    </row>
    <row r="148" spans="1:9" ht="27" thickBot="1" x14ac:dyDescent="0.3">
      <c r="A148" s="2">
        <v>2568</v>
      </c>
      <c r="B148" s="2">
        <v>55200</v>
      </c>
      <c r="C148" s="2" t="str">
        <f t="shared" si="6"/>
        <v>552</v>
      </c>
      <c r="D148" s="3" t="s">
        <v>82</v>
      </c>
      <c r="E148" s="3">
        <f>INDEX([1]group_data_final!D:D, MATCH(VALUE(C148), [1]group_data_final!C:C, 0))</f>
        <v>780.41499999999996</v>
      </c>
      <c r="F148" s="2">
        <v>9795000</v>
      </c>
      <c r="G148" s="2">
        <v>4612026</v>
      </c>
      <c r="H148" s="2">
        <v>0.47085513020000003</v>
      </c>
      <c r="I148">
        <f t="shared" si="7"/>
        <v>5909.7095775965354</v>
      </c>
    </row>
    <row r="149" spans="1:9" ht="15.75" thickBot="1" x14ac:dyDescent="0.3">
      <c r="A149" s="2">
        <v>2568</v>
      </c>
      <c r="B149" s="2">
        <v>52800</v>
      </c>
      <c r="C149" s="2" t="str">
        <f t="shared" si="6"/>
        <v>528</v>
      </c>
      <c r="D149" s="3" t="s">
        <v>86</v>
      </c>
      <c r="E149" s="3">
        <f>INDEX([1]group_data_final!D:D, MATCH(VALUE(C149), [1]group_data_final!C:C, 0))</f>
        <v>668.21699999999998</v>
      </c>
      <c r="F149" s="2">
        <v>11699600</v>
      </c>
      <c r="G149" s="2">
        <v>4517703</v>
      </c>
      <c r="H149" s="2">
        <v>0.38614166300000002</v>
      </c>
      <c r="I149">
        <f t="shared" si="7"/>
        <v>6760.8321847543539</v>
      </c>
    </row>
    <row r="150" spans="1:9" ht="15.75" thickBot="1" x14ac:dyDescent="0.3">
      <c r="A150" s="2">
        <v>2569</v>
      </c>
      <c r="B150" s="2">
        <v>42300</v>
      </c>
      <c r="C150" s="2" t="str">
        <f t="shared" si="6"/>
        <v>423</v>
      </c>
      <c r="D150" s="3" t="s">
        <v>91</v>
      </c>
      <c r="E150" s="3">
        <f>INDEX([1]group_data_final!D:D, MATCH(VALUE(C150), [1]group_data_final!C:C, 0))</f>
        <v>770.64400000000001</v>
      </c>
      <c r="F150" s="2">
        <v>10905000</v>
      </c>
      <c r="G150" s="2">
        <v>4506338</v>
      </c>
      <c r="H150" s="2">
        <v>0.41323594679999998</v>
      </c>
      <c r="I150">
        <f t="shared" si="7"/>
        <v>5847.4963796513048</v>
      </c>
    </row>
    <row r="151" spans="1:9" ht="15.75" thickBot="1" x14ac:dyDescent="0.3">
      <c r="A151" s="2">
        <v>2569</v>
      </c>
      <c r="B151" s="2">
        <v>32300</v>
      </c>
      <c r="C151" s="2" t="str">
        <f t="shared" si="6"/>
        <v>323</v>
      </c>
      <c r="D151" s="3" t="s">
        <v>87</v>
      </c>
      <c r="E151" s="3">
        <f>INDEX([1]group_data_final!D:D, MATCH(VALUE(C151), [1]group_data_final!C:C, 0))</f>
        <v>752.71199999999999</v>
      </c>
      <c r="F151" s="2">
        <v>13213500</v>
      </c>
      <c r="G151" s="2">
        <v>4452425</v>
      </c>
      <c r="H151" s="2">
        <v>0.33696030570000002</v>
      </c>
      <c r="I151">
        <f t="shared" si="7"/>
        <v>5915.1773852416327</v>
      </c>
    </row>
    <row r="152" spans="1:9" ht="15.75" thickBot="1" x14ac:dyDescent="0.3">
      <c r="A152" s="2">
        <v>2569</v>
      </c>
      <c r="B152" s="2">
        <v>33800</v>
      </c>
      <c r="C152" s="2" t="str">
        <f t="shared" si="6"/>
        <v>338</v>
      </c>
      <c r="D152" s="3" t="s">
        <v>92</v>
      </c>
      <c r="E152" s="3">
        <f>INDEX([1]group_data_final!D:D, MATCH(VALUE(C152), [1]group_data_final!C:C, 0))</f>
        <v>711.86900000000003</v>
      </c>
      <c r="F152" s="2">
        <v>11710553</v>
      </c>
      <c r="G152" s="2">
        <v>4439523</v>
      </c>
      <c r="H152" s="2">
        <v>0.379104471</v>
      </c>
      <c r="I152">
        <f t="shared" si="7"/>
        <v>6236.4325458757157</v>
      </c>
    </row>
    <row r="153" spans="1:9" ht="15.75" thickBot="1" x14ac:dyDescent="0.3">
      <c r="A153" s="2">
        <v>2569</v>
      </c>
      <c r="B153" s="2">
        <v>42500</v>
      </c>
      <c r="C153" s="2" t="str">
        <f t="shared" si="6"/>
        <v>425</v>
      </c>
      <c r="D153" s="3" t="s">
        <v>71</v>
      </c>
      <c r="E153" s="3">
        <f>INDEX([1]group_data_final!D:D, MATCH(VALUE(C153), [1]group_data_final!C:C, 0))</f>
        <v>677.55799999999999</v>
      </c>
      <c r="F153" s="2">
        <v>9614800</v>
      </c>
      <c r="G153" s="2">
        <v>4438011</v>
      </c>
      <c r="H153" s="2">
        <v>0.46158120809999997</v>
      </c>
      <c r="I153">
        <f t="shared" si="7"/>
        <v>6550.009002919307</v>
      </c>
    </row>
    <row r="154" spans="1:9" ht="15.75" thickBot="1" x14ac:dyDescent="0.3">
      <c r="A154" s="2">
        <v>2568</v>
      </c>
      <c r="B154" s="2">
        <v>51200</v>
      </c>
      <c r="C154" s="2" t="str">
        <f t="shared" si="6"/>
        <v>512</v>
      </c>
      <c r="D154" s="3" t="s">
        <v>95</v>
      </c>
      <c r="E154" s="3">
        <f>INDEX([1]group_data_final!D:D, MATCH(VALUE(C154), [1]group_data_final!C:C, 0))</f>
        <v>830.79600000000005</v>
      </c>
      <c r="F154" s="2">
        <v>12741448</v>
      </c>
      <c r="G154" s="2">
        <v>4420634</v>
      </c>
      <c r="H154" s="2">
        <v>0.3469491066</v>
      </c>
      <c r="I154">
        <f t="shared" si="7"/>
        <v>5320.962065296414</v>
      </c>
    </row>
    <row r="155" spans="1:9" ht="15.75" thickBot="1" x14ac:dyDescent="0.3">
      <c r="A155" s="2">
        <v>2568</v>
      </c>
      <c r="B155" s="2">
        <v>43300</v>
      </c>
      <c r="C155" s="2" t="str">
        <f t="shared" si="6"/>
        <v>433</v>
      </c>
      <c r="D155" s="3" t="s">
        <v>85</v>
      </c>
      <c r="E155" s="3">
        <f>INDEX([1]group_data_final!D:D, MATCH(VALUE(C155), [1]group_data_final!C:C, 0))</f>
        <v>585.39499999999998</v>
      </c>
      <c r="F155" s="2">
        <v>12982040</v>
      </c>
      <c r="G155" s="2">
        <v>4411008</v>
      </c>
      <c r="H155" s="2">
        <v>0.33977772369999998</v>
      </c>
      <c r="I155">
        <f t="shared" si="7"/>
        <v>7535.096814971088</v>
      </c>
    </row>
    <row r="156" spans="1:9" ht="27" thickBot="1" x14ac:dyDescent="0.3">
      <c r="A156" s="2">
        <v>2568</v>
      </c>
      <c r="B156" s="2">
        <v>62400</v>
      </c>
      <c r="C156" s="2" t="str">
        <f t="shared" si="6"/>
        <v>624</v>
      </c>
      <c r="D156" s="3" t="s">
        <v>58</v>
      </c>
      <c r="E156" s="3">
        <f>INDEX([1]group_data_final!D:D, MATCH(VALUE(C156), [1]group_data_final!C:C, 0))</f>
        <v>679.35299999999995</v>
      </c>
      <c r="F156" s="2">
        <v>8446982</v>
      </c>
      <c r="G156" s="2">
        <v>4348366</v>
      </c>
      <c r="H156" s="2">
        <v>0.5147833865</v>
      </c>
      <c r="I156">
        <f t="shared" si="7"/>
        <v>6400.7460039184343</v>
      </c>
    </row>
    <row r="157" spans="1:9" ht="15.75" thickBot="1" x14ac:dyDescent="0.3">
      <c r="A157" s="2">
        <v>2568</v>
      </c>
      <c r="B157" s="2">
        <v>53500</v>
      </c>
      <c r="C157" s="2" t="str">
        <f t="shared" si="6"/>
        <v>535</v>
      </c>
      <c r="D157" s="3" t="s">
        <v>88</v>
      </c>
      <c r="E157" s="3">
        <f>INDEX([1]group_data_final!D:D, MATCH(VALUE(C157), [1]group_data_final!C:C, 0))</f>
        <v>731.81200000000001</v>
      </c>
      <c r="F157" s="2">
        <v>19786700</v>
      </c>
      <c r="G157" s="2">
        <v>4342761</v>
      </c>
      <c r="H157" s="2">
        <v>0.2194787913</v>
      </c>
      <c r="I157">
        <f t="shared" si="7"/>
        <v>5934.2577055309284</v>
      </c>
    </row>
    <row r="158" spans="1:9" ht="15.75" thickBot="1" x14ac:dyDescent="0.3">
      <c r="A158" s="2">
        <v>2569</v>
      </c>
      <c r="B158" s="2">
        <v>41600</v>
      </c>
      <c r="C158" s="2" t="str">
        <f t="shared" si="6"/>
        <v>416</v>
      </c>
      <c r="D158" s="3" t="s">
        <v>67</v>
      </c>
      <c r="E158" s="3">
        <f>INDEX([1]group_data_final!D:D, MATCH(VALUE(C158), [1]group_data_final!C:C, 0))</f>
        <v>623.46900000000005</v>
      </c>
      <c r="F158" s="2">
        <v>7011502</v>
      </c>
      <c r="G158" s="2">
        <v>4284956</v>
      </c>
      <c r="H158" s="2">
        <v>0.61113239360000005</v>
      </c>
      <c r="I158">
        <f t="shared" si="7"/>
        <v>6872.7651254513048</v>
      </c>
    </row>
    <row r="159" spans="1:9" ht="15.75" thickBot="1" x14ac:dyDescent="0.3">
      <c r="A159" s="2">
        <v>2568</v>
      </c>
      <c r="B159" s="2">
        <v>31400</v>
      </c>
      <c r="C159" s="2" t="str">
        <f t="shared" si="6"/>
        <v>314</v>
      </c>
      <c r="D159" s="3" t="s">
        <v>90</v>
      </c>
      <c r="E159" s="3">
        <f>INDEX([1]group_data_final!D:D, MATCH(VALUE(C159), [1]group_data_final!C:C, 0))</f>
        <v>585.505</v>
      </c>
      <c r="F159" s="2">
        <v>7133900</v>
      </c>
      <c r="G159" s="2">
        <v>4197230</v>
      </c>
      <c r="H159" s="2">
        <v>0.58834999089999995</v>
      </c>
      <c r="I159">
        <f t="shared" si="7"/>
        <v>7168.5638892921497</v>
      </c>
    </row>
    <row r="160" spans="1:9" ht="15.75" thickBot="1" x14ac:dyDescent="0.3">
      <c r="A160" s="2">
        <v>2569</v>
      </c>
      <c r="B160" s="2">
        <v>52800</v>
      </c>
      <c r="C160" s="2" t="str">
        <f t="shared" si="6"/>
        <v>528</v>
      </c>
      <c r="D160" s="3" t="s">
        <v>86</v>
      </c>
      <c r="E160" s="3">
        <f>INDEX([1]group_data_final!D:D, MATCH(VALUE(C160), [1]group_data_final!C:C, 0))</f>
        <v>668.21699999999998</v>
      </c>
      <c r="F160" s="2">
        <v>12769200</v>
      </c>
      <c r="G160" s="2">
        <v>4149626</v>
      </c>
      <c r="H160" s="2">
        <v>0.32497149390000002</v>
      </c>
      <c r="I160">
        <f t="shared" si="7"/>
        <v>6209.9976504638462</v>
      </c>
    </row>
    <row r="161" spans="1:9" ht="15.75" thickBot="1" x14ac:dyDescent="0.3">
      <c r="A161" s="2">
        <v>2568</v>
      </c>
      <c r="B161" s="2">
        <v>55700</v>
      </c>
      <c r="C161" s="2" t="str">
        <f t="shared" si="6"/>
        <v>557</v>
      </c>
      <c r="D161" s="3" t="s">
        <v>59</v>
      </c>
      <c r="E161" s="3">
        <f>INDEX([1]group_data_final!D:D, MATCH(VALUE(C161), [1]group_data_final!C:C, 0))</f>
        <v>590.94799999999998</v>
      </c>
      <c r="F161" s="2">
        <v>13190388</v>
      </c>
      <c r="G161" s="2">
        <v>4126868</v>
      </c>
      <c r="H161" s="2">
        <v>0.31286934090000001</v>
      </c>
      <c r="I161">
        <f t="shared" si="7"/>
        <v>6983.4706268571854</v>
      </c>
    </row>
    <row r="162" spans="1:9" ht="15.75" thickBot="1" x14ac:dyDescent="0.3">
      <c r="A162" s="2">
        <v>2569</v>
      </c>
      <c r="B162" s="2">
        <v>44700</v>
      </c>
      <c r="C162" s="2" t="str">
        <f t="shared" si="6"/>
        <v>447</v>
      </c>
      <c r="D162" s="3" t="s">
        <v>74</v>
      </c>
      <c r="E162" s="3">
        <f>INDEX([1]group_data_final!D:D, MATCH(VALUE(C162), [1]group_data_final!C:C, 0))</f>
        <v>547.51199999999994</v>
      </c>
      <c r="F162" s="2">
        <v>9536590</v>
      </c>
      <c r="G162" s="2">
        <v>4118745</v>
      </c>
      <c r="H162" s="2">
        <v>0.43188865199999998</v>
      </c>
      <c r="I162">
        <f t="shared" si="7"/>
        <v>7522.6570376539703</v>
      </c>
    </row>
    <row r="163" spans="1:9" ht="15.75" thickBot="1" x14ac:dyDescent="0.3">
      <c r="A163" s="2">
        <v>2569</v>
      </c>
      <c r="B163" s="2">
        <v>53900</v>
      </c>
      <c r="C163" s="2" t="str">
        <f t="shared" si="6"/>
        <v>539</v>
      </c>
      <c r="D163" s="3" t="s">
        <v>96</v>
      </c>
      <c r="E163" s="3">
        <f>INDEX([1]group_data_final!D:D, MATCH(VALUE(C163), [1]group_data_final!C:C, 0))</f>
        <v>600.63099999999997</v>
      </c>
      <c r="F163" s="2">
        <v>11804532</v>
      </c>
      <c r="G163" s="2">
        <v>4114902</v>
      </c>
      <c r="H163" s="2">
        <v>0.34858662759999998</v>
      </c>
      <c r="I163">
        <f t="shared" si="7"/>
        <v>6850.965068403063</v>
      </c>
    </row>
    <row r="164" spans="1:9" ht="15.75" thickBot="1" x14ac:dyDescent="0.3">
      <c r="A164" s="2">
        <v>2569</v>
      </c>
      <c r="B164" s="2">
        <v>52400</v>
      </c>
      <c r="C164" s="2" t="str">
        <f t="shared" si="6"/>
        <v>524</v>
      </c>
      <c r="D164" s="3" t="s">
        <v>94</v>
      </c>
      <c r="E164" s="3">
        <f>INDEX([1]group_data_final!D:D, MATCH(VALUE(C164), [1]group_data_final!C:C, 0))</f>
        <v>650.26800000000003</v>
      </c>
      <c r="F164" s="2">
        <v>9370400</v>
      </c>
      <c r="G164" s="2">
        <v>4085665</v>
      </c>
      <c r="H164" s="2">
        <v>0.43601820629999999</v>
      </c>
      <c r="I164">
        <f t="shared" si="7"/>
        <v>6283.0479125529782</v>
      </c>
    </row>
    <row r="165" spans="1:9" ht="15.75" thickBot="1" x14ac:dyDescent="0.3">
      <c r="A165" s="2">
        <v>2569</v>
      </c>
      <c r="B165" s="2">
        <v>63900</v>
      </c>
      <c r="C165" s="2" t="str">
        <f t="shared" si="6"/>
        <v>639</v>
      </c>
      <c r="D165" s="3" t="s">
        <v>75</v>
      </c>
      <c r="E165" s="3">
        <f>INDEX([1]group_data_final!D:D, MATCH(VALUE(C165), [1]group_data_final!C:C, 0))</f>
        <v>744.57500000000005</v>
      </c>
      <c r="F165" s="2">
        <v>6929800</v>
      </c>
      <c r="G165" s="2">
        <v>4027030</v>
      </c>
      <c r="H165" s="2">
        <v>0.58111778120000002</v>
      </c>
      <c r="I165">
        <f t="shared" si="7"/>
        <v>5408.4947789007147</v>
      </c>
    </row>
    <row r="166" spans="1:9" ht="15.75" thickBot="1" x14ac:dyDescent="0.3">
      <c r="A166" s="2">
        <v>2568</v>
      </c>
      <c r="B166" s="2">
        <v>52400</v>
      </c>
      <c r="C166" s="2" t="str">
        <f t="shared" si="6"/>
        <v>524</v>
      </c>
      <c r="D166" s="3" t="s">
        <v>94</v>
      </c>
      <c r="E166" s="3">
        <f>INDEX([1]group_data_final!D:D, MATCH(VALUE(C166), [1]group_data_final!C:C, 0))</f>
        <v>650.26800000000003</v>
      </c>
      <c r="F166" s="2">
        <v>9617600</v>
      </c>
      <c r="G166" s="2">
        <v>4002941</v>
      </c>
      <c r="H166" s="2">
        <v>0.41620996919999997</v>
      </c>
      <c r="I166">
        <f t="shared" si="7"/>
        <v>6155.8326720675168</v>
      </c>
    </row>
    <row r="167" spans="1:9" ht="15.75" thickBot="1" x14ac:dyDescent="0.3">
      <c r="A167" s="2">
        <v>2568</v>
      </c>
      <c r="B167" s="2">
        <v>41100</v>
      </c>
      <c r="C167" s="2" t="str">
        <f t="shared" si="6"/>
        <v>411</v>
      </c>
      <c r="D167" s="3" t="s">
        <v>97</v>
      </c>
      <c r="E167" s="3">
        <f>INDEX([1]group_data_final!D:D, MATCH(VALUE(C167), [1]group_data_final!C:C, 0))</f>
        <v>566.44399999999996</v>
      </c>
      <c r="F167" s="2">
        <v>4471721</v>
      </c>
      <c r="G167" s="2">
        <v>3831064</v>
      </c>
      <c r="H167" s="2">
        <v>0.85673144629999998</v>
      </c>
      <c r="I167">
        <f t="shared" si="7"/>
        <v>6763.358778625955</v>
      </c>
    </row>
    <row r="168" spans="1:9" ht="15.75" thickBot="1" x14ac:dyDescent="0.3">
      <c r="A168" s="2">
        <v>2568</v>
      </c>
      <c r="B168" s="2">
        <v>53900</v>
      </c>
      <c r="C168" s="2" t="str">
        <f t="shared" si="6"/>
        <v>539</v>
      </c>
      <c r="D168" s="3" t="s">
        <v>96</v>
      </c>
      <c r="E168" s="3">
        <f>INDEX([1]group_data_final!D:D, MATCH(VALUE(C168), [1]group_data_final!C:C, 0))</f>
        <v>600.63099999999997</v>
      </c>
      <c r="F168" s="2">
        <v>10472629</v>
      </c>
      <c r="G168" s="2">
        <v>3758400</v>
      </c>
      <c r="H168" s="2">
        <v>0.35887836760000003</v>
      </c>
      <c r="I168">
        <f t="shared" si="7"/>
        <v>6257.4192807231066</v>
      </c>
    </row>
    <row r="169" spans="1:9" ht="15.75" thickBot="1" x14ac:dyDescent="0.3">
      <c r="A169" s="2">
        <v>2568</v>
      </c>
      <c r="B169" s="2">
        <v>31200</v>
      </c>
      <c r="C169" s="2" t="str">
        <f t="shared" si="6"/>
        <v>312</v>
      </c>
      <c r="D169" s="3" t="s">
        <v>98</v>
      </c>
      <c r="E169" s="3">
        <f>INDEX([1]group_data_final!D:D, MATCH(VALUE(C169), [1]group_data_final!C:C, 0))</f>
        <v>557.19200000000001</v>
      </c>
      <c r="F169" s="2">
        <v>3311910</v>
      </c>
      <c r="G169" s="2">
        <v>3700000</v>
      </c>
      <c r="H169" s="2">
        <v>1.117180117</v>
      </c>
      <c r="I169">
        <f t="shared" si="7"/>
        <v>6640.439920171144</v>
      </c>
    </row>
    <row r="170" spans="1:9" ht="15.75" thickBot="1" x14ac:dyDescent="0.3">
      <c r="A170" s="2">
        <v>2569</v>
      </c>
      <c r="B170" s="2">
        <v>51200</v>
      </c>
      <c r="C170" s="2" t="str">
        <f t="shared" si="6"/>
        <v>512</v>
      </c>
      <c r="D170" s="3" t="s">
        <v>95</v>
      </c>
      <c r="E170" s="3">
        <f>INDEX([1]group_data_final!D:D, MATCH(VALUE(C170), [1]group_data_final!C:C, 0))</f>
        <v>830.79600000000005</v>
      </c>
      <c r="F170" s="2">
        <v>10330970</v>
      </c>
      <c r="G170" s="2">
        <v>3681520</v>
      </c>
      <c r="H170" s="2">
        <v>0.35635763149999999</v>
      </c>
      <c r="I170">
        <f t="shared" si="7"/>
        <v>4431.3164723951486</v>
      </c>
    </row>
    <row r="171" spans="1:9" ht="15.75" thickBot="1" x14ac:dyDescent="0.3">
      <c r="A171" s="2">
        <v>2569</v>
      </c>
      <c r="B171" s="2">
        <v>31200</v>
      </c>
      <c r="C171" s="2" t="str">
        <f t="shared" si="6"/>
        <v>312</v>
      </c>
      <c r="D171" s="3" t="s">
        <v>98</v>
      </c>
      <c r="E171" s="3">
        <f>INDEX([1]group_data_final!D:D, MATCH(VALUE(C171), [1]group_data_final!C:C, 0))</f>
        <v>557.19200000000001</v>
      </c>
      <c r="F171" s="2">
        <v>3314910</v>
      </c>
      <c r="G171" s="2">
        <v>3512530</v>
      </c>
      <c r="H171" s="2">
        <v>1.0596154950000001</v>
      </c>
      <c r="I171">
        <f t="shared" si="7"/>
        <v>6303.9849818374996</v>
      </c>
    </row>
    <row r="172" spans="1:9" ht="15.75" thickBot="1" x14ac:dyDescent="0.3">
      <c r="A172" s="2">
        <v>2569</v>
      </c>
      <c r="B172" s="2">
        <v>63100</v>
      </c>
      <c r="C172" s="2" t="str">
        <f t="shared" si="6"/>
        <v>631</v>
      </c>
      <c r="D172" s="3" t="s">
        <v>72</v>
      </c>
      <c r="E172" s="3">
        <f>INDEX([1]group_data_final!D:D, MATCH(VALUE(C172), [1]group_data_final!C:C, 0))</f>
        <v>681.58500000000004</v>
      </c>
      <c r="F172" s="2">
        <v>5735000</v>
      </c>
      <c r="G172" s="2">
        <v>3409158</v>
      </c>
      <c r="H172" s="2">
        <v>0.59444777680000005</v>
      </c>
      <c r="I172">
        <f t="shared" si="7"/>
        <v>5001.8090186843901</v>
      </c>
    </row>
    <row r="173" spans="1:9" ht="27" thickBot="1" x14ac:dyDescent="0.3">
      <c r="A173" s="2">
        <v>2569</v>
      </c>
      <c r="B173" s="2">
        <v>31900</v>
      </c>
      <c r="C173" s="2" t="str">
        <f t="shared" ref="C173:C207" si="8">LEFT(B173,3)</f>
        <v>319</v>
      </c>
      <c r="D173" s="3" t="s">
        <v>101</v>
      </c>
      <c r="E173" s="3">
        <f>INDEX([1]group_data_final!D:D, MATCH(VALUE(C173), [1]group_data_final!C:C, 0))</f>
        <v>512.75699999999995</v>
      </c>
      <c r="F173" s="2">
        <v>5080000</v>
      </c>
      <c r="G173" s="2">
        <v>3363297</v>
      </c>
      <c r="H173" s="2">
        <v>0.66206633859999997</v>
      </c>
      <c r="I173">
        <f t="shared" ref="I173:I207" si="9">G173/E173</f>
        <v>6559.2415120612695</v>
      </c>
    </row>
    <row r="174" spans="1:9" ht="15.75" thickBot="1" x14ac:dyDescent="0.3">
      <c r="A174" s="2">
        <v>2569</v>
      </c>
      <c r="B174" s="2">
        <v>31400</v>
      </c>
      <c r="C174" s="2" t="str">
        <f t="shared" si="8"/>
        <v>314</v>
      </c>
      <c r="D174" s="3" t="s">
        <v>90</v>
      </c>
      <c r="E174" s="3">
        <f>INDEX([1]group_data_final!D:D, MATCH(VALUE(C174), [1]group_data_final!C:C, 0))</f>
        <v>585.505</v>
      </c>
      <c r="F174" s="2">
        <v>10221000</v>
      </c>
      <c r="G174" s="2">
        <v>3334350</v>
      </c>
      <c r="H174" s="2">
        <v>0.32622541830000001</v>
      </c>
      <c r="I174">
        <f t="shared" si="9"/>
        <v>5694.8275420363616</v>
      </c>
    </row>
    <row r="175" spans="1:9" ht="15.75" thickBot="1" x14ac:dyDescent="0.3">
      <c r="A175" s="2">
        <v>2568</v>
      </c>
      <c r="B175" s="2">
        <v>41700</v>
      </c>
      <c r="C175" s="2" t="str">
        <f t="shared" si="8"/>
        <v>417</v>
      </c>
      <c r="D175" s="3" t="s">
        <v>102</v>
      </c>
      <c r="E175" s="3">
        <f>INDEX([1]group_data_final!D:D, MATCH(VALUE(C175), [1]group_data_final!C:C, 0))</f>
        <v>744.57799999999997</v>
      </c>
      <c r="F175" s="2">
        <v>2132500</v>
      </c>
      <c r="G175" s="2">
        <v>3334070</v>
      </c>
      <c r="H175" s="2">
        <v>1.563456038</v>
      </c>
      <c r="I175">
        <f t="shared" si="9"/>
        <v>4477.7981621804565</v>
      </c>
    </row>
    <row r="176" spans="1:9" ht="15.75" thickBot="1" x14ac:dyDescent="0.3">
      <c r="A176" s="2">
        <v>2568</v>
      </c>
      <c r="B176" s="2">
        <v>32400</v>
      </c>
      <c r="C176" s="2" t="str">
        <f t="shared" si="8"/>
        <v>324</v>
      </c>
      <c r="D176" s="3" t="s">
        <v>103</v>
      </c>
      <c r="E176" s="3">
        <f>INDEX([1]group_data_final!D:D, MATCH(VALUE(C176), [1]group_data_final!C:C, 0))</f>
        <v>603.14099999999996</v>
      </c>
      <c r="F176" s="2">
        <v>6642567</v>
      </c>
      <c r="G176" s="2">
        <v>3332483</v>
      </c>
      <c r="H176" s="2">
        <v>0.50168601989999995</v>
      </c>
      <c r="I176">
        <f t="shared" si="9"/>
        <v>5525.2138388867616</v>
      </c>
    </row>
    <row r="177" spans="1:9" ht="15.75" thickBot="1" x14ac:dyDescent="0.3">
      <c r="A177" s="2">
        <v>2569</v>
      </c>
      <c r="B177" s="2">
        <v>62900</v>
      </c>
      <c r="C177" s="2" t="str">
        <f t="shared" si="8"/>
        <v>629</v>
      </c>
      <c r="D177" s="3" t="s">
        <v>100</v>
      </c>
      <c r="E177" s="3">
        <f>INDEX([1]group_data_final!D:D, MATCH(VALUE(C177), [1]group_data_final!C:C, 0))</f>
        <v>534.08699999999999</v>
      </c>
      <c r="F177" s="2">
        <v>9444002</v>
      </c>
      <c r="G177" s="2">
        <v>3307329</v>
      </c>
      <c r="H177" s="2">
        <v>0.35020418250000002</v>
      </c>
      <c r="I177">
        <f t="shared" si="9"/>
        <v>6192.4911109987697</v>
      </c>
    </row>
    <row r="178" spans="1:9" ht="15.75" thickBot="1" x14ac:dyDescent="0.3">
      <c r="A178" s="2">
        <v>2569</v>
      </c>
      <c r="B178" s="2">
        <v>61800</v>
      </c>
      <c r="C178" s="2" t="str">
        <f t="shared" si="8"/>
        <v>618</v>
      </c>
      <c r="D178" s="3" t="s">
        <v>53</v>
      </c>
      <c r="E178" s="3">
        <f>INDEX([1]group_data_final!D:D, MATCH(VALUE(C178), [1]group_data_final!C:C, 0))</f>
        <v>880.74400000000003</v>
      </c>
      <c r="F178" s="2">
        <v>5099500</v>
      </c>
      <c r="G178" s="2">
        <v>3281384</v>
      </c>
      <c r="H178" s="2">
        <v>0.64347171290000005</v>
      </c>
      <c r="I178">
        <f t="shared" si="9"/>
        <v>3725.6955483091565</v>
      </c>
    </row>
    <row r="179" spans="1:9" ht="27" thickBot="1" x14ac:dyDescent="0.3">
      <c r="A179" s="2">
        <v>2568</v>
      </c>
      <c r="B179" s="2">
        <v>64200</v>
      </c>
      <c r="C179" s="2" t="str">
        <f t="shared" si="8"/>
        <v>642</v>
      </c>
      <c r="D179" s="3" t="s">
        <v>105</v>
      </c>
      <c r="E179" s="3">
        <f>INDEX([1]group_data_final!D:D, MATCH(VALUE(C179), [1]group_data_final!C:C, 0))</f>
        <v>660.03599999999994</v>
      </c>
      <c r="F179" s="2">
        <v>7946770</v>
      </c>
      <c r="G179" s="2">
        <v>3277985</v>
      </c>
      <c r="H179" s="2">
        <v>0.41249274860000001</v>
      </c>
      <c r="I179">
        <f t="shared" si="9"/>
        <v>4966.3730463186857</v>
      </c>
    </row>
    <row r="180" spans="1:9" ht="15.75" thickBot="1" x14ac:dyDescent="0.3">
      <c r="A180" s="2">
        <v>2568</v>
      </c>
      <c r="B180" s="2">
        <v>62900</v>
      </c>
      <c r="C180" s="2" t="str">
        <f t="shared" si="8"/>
        <v>629</v>
      </c>
      <c r="D180" s="3" t="s">
        <v>100</v>
      </c>
      <c r="E180" s="3">
        <f>INDEX([1]group_data_final!D:D, MATCH(VALUE(C180), [1]group_data_final!C:C, 0))</f>
        <v>534.08699999999999</v>
      </c>
      <c r="F180" s="2">
        <v>9600188</v>
      </c>
      <c r="G180" s="2">
        <v>3271759</v>
      </c>
      <c r="H180" s="2">
        <v>0.34080155509999999</v>
      </c>
      <c r="I180">
        <f t="shared" si="9"/>
        <v>6125.8914746099417</v>
      </c>
    </row>
    <row r="181" spans="1:9" ht="15.75" thickBot="1" x14ac:dyDescent="0.3">
      <c r="A181" s="2">
        <v>2568</v>
      </c>
      <c r="B181" s="2">
        <v>33600</v>
      </c>
      <c r="C181" s="2" t="str">
        <f t="shared" si="8"/>
        <v>336</v>
      </c>
      <c r="D181" s="3" t="s">
        <v>76</v>
      </c>
      <c r="E181" s="3">
        <f>INDEX([1]group_data_final!D:D, MATCH(VALUE(C181), [1]group_data_final!C:C, 0))</f>
        <v>600.327</v>
      </c>
      <c r="F181" s="2">
        <v>5301000</v>
      </c>
      <c r="G181" s="2">
        <v>3260192</v>
      </c>
      <c r="H181" s="2">
        <v>0.61501452560000003</v>
      </c>
      <c r="I181">
        <f t="shared" si="9"/>
        <v>5430.6936053184345</v>
      </c>
    </row>
    <row r="182" spans="1:9" ht="15.75" thickBot="1" x14ac:dyDescent="0.3">
      <c r="A182" s="2">
        <v>2568</v>
      </c>
      <c r="B182" s="2">
        <v>62100</v>
      </c>
      <c r="C182" s="2" t="str">
        <f t="shared" si="8"/>
        <v>621</v>
      </c>
      <c r="D182" s="3" t="s">
        <v>13</v>
      </c>
      <c r="E182" s="3">
        <f>INDEX([1]group_data_final!D:D, MATCH(VALUE(C182), [1]group_data_final!C:C, 0))</f>
        <v>640.13199999999995</v>
      </c>
      <c r="F182" s="2">
        <v>24608654</v>
      </c>
      <c r="G182" s="2">
        <v>3142759</v>
      </c>
      <c r="H182" s="2">
        <v>0.12770950410000001</v>
      </c>
      <c r="I182">
        <f t="shared" si="9"/>
        <v>4909.5483431542252</v>
      </c>
    </row>
    <row r="183" spans="1:9" ht="15.75" thickBot="1" x14ac:dyDescent="0.3">
      <c r="A183" s="2">
        <v>2569</v>
      </c>
      <c r="B183" s="2">
        <v>41700</v>
      </c>
      <c r="C183" s="2" t="str">
        <f t="shared" si="8"/>
        <v>417</v>
      </c>
      <c r="D183" s="3" t="s">
        <v>102</v>
      </c>
      <c r="E183" s="3">
        <f>INDEX([1]group_data_final!D:D, MATCH(VALUE(C183), [1]group_data_final!C:C, 0))</f>
        <v>744.57799999999997</v>
      </c>
      <c r="F183" s="2">
        <v>2179582</v>
      </c>
      <c r="G183" s="2">
        <v>3120585</v>
      </c>
      <c r="H183" s="2">
        <v>1.4317355350000001</v>
      </c>
      <c r="I183">
        <f t="shared" si="9"/>
        <v>4191.0787049845685</v>
      </c>
    </row>
    <row r="184" spans="1:9" ht="15.75" thickBot="1" x14ac:dyDescent="0.3">
      <c r="A184" s="2">
        <v>2568</v>
      </c>
      <c r="B184" s="2">
        <v>64300</v>
      </c>
      <c r="C184" s="2" t="str">
        <f t="shared" si="8"/>
        <v>643</v>
      </c>
      <c r="D184" s="3" t="s">
        <v>106</v>
      </c>
      <c r="E184" s="3">
        <f>INDEX([1]group_data_final!D:D, MATCH(VALUE(C184), [1]group_data_final!C:C, 0))</f>
        <v>649.12</v>
      </c>
      <c r="F184" s="2">
        <v>6012600</v>
      </c>
      <c r="G184" s="2">
        <v>3018856</v>
      </c>
      <c r="H184" s="2">
        <v>0.50208828130000005</v>
      </c>
      <c r="I184">
        <f t="shared" si="9"/>
        <v>4650.6901651466596</v>
      </c>
    </row>
    <row r="185" spans="1:9" ht="15.75" thickBot="1" x14ac:dyDescent="0.3">
      <c r="A185" s="2">
        <v>2568</v>
      </c>
      <c r="B185" s="2">
        <v>63100</v>
      </c>
      <c r="C185" s="2" t="str">
        <f t="shared" si="8"/>
        <v>631</v>
      </c>
      <c r="D185" s="3" t="s">
        <v>72</v>
      </c>
      <c r="E185" s="3">
        <f>INDEX([1]group_data_final!D:D, MATCH(VALUE(C185), [1]group_data_final!C:C, 0))</f>
        <v>681.58500000000004</v>
      </c>
      <c r="F185" s="2">
        <v>5764000</v>
      </c>
      <c r="G185" s="2">
        <v>3015054</v>
      </c>
      <c r="H185" s="2">
        <v>0.52308362249999996</v>
      </c>
      <c r="I185">
        <f t="shared" si="9"/>
        <v>4423.5920684874227</v>
      </c>
    </row>
    <row r="186" spans="1:9" ht="27" thickBot="1" x14ac:dyDescent="0.3">
      <c r="A186" s="2">
        <v>2568</v>
      </c>
      <c r="B186" s="2">
        <v>31900</v>
      </c>
      <c r="C186" s="2" t="str">
        <f t="shared" si="8"/>
        <v>319</v>
      </c>
      <c r="D186" s="3" t="s">
        <v>101</v>
      </c>
      <c r="E186" s="3">
        <f>INDEX([1]group_data_final!D:D, MATCH(VALUE(C186), [1]group_data_final!C:C, 0))</f>
        <v>512.75699999999995</v>
      </c>
      <c r="F186" s="2">
        <v>6712867</v>
      </c>
      <c r="G186" s="2">
        <v>3009030</v>
      </c>
      <c r="H186" s="2">
        <v>0.44824811809999998</v>
      </c>
      <c r="I186">
        <f t="shared" si="9"/>
        <v>5868.3352933260794</v>
      </c>
    </row>
    <row r="187" spans="1:9" ht="15.75" thickBot="1" x14ac:dyDescent="0.3">
      <c r="A187" s="2">
        <v>2568</v>
      </c>
      <c r="B187" s="2">
        <v>41900</v>
      </c>
      <c r="C187" s="2" t="str">
        <f t="shared" si="8"/>
        <v>419</v>
      </c>
      <c r="D187" s="3" t="s">
        <v>107</v>
      </c>
      <c r="E187" s="3">
        <f>INDEX([1]group_data_final!D:D, MATCH(VALUE(C187), [1]group_data_final!C:C, 0))</f>
        <v>440.09199999999998</v>
      </c>
      <c r="F187" s="2">
        <v>3767500</v>
      </c>
      <c r="G187" s="2">
        <v>2982810</v>
      </c>
      <c r="H187" s="2">
        <v>0.79172130060000001</v>
      </c>
      <c r="I187">
        <f t="shared" si="9"/>
        <v>6777.6964816447471</v>
      </c>
    </row>
    <row r="188" spans="1:9" ht="15.75" thickBot="1" x14ac:dyDescent="0.3">
      <c r="A188" s="2">
        <v>2569</v>
      </c>
      <c r="B188" s="2">
        <v>63800</v>
      </c>
      <c r="C188" s="2" t="str">
        <f t="shared" si="8"/>
        <v>638</v>
      </c>
      <c r="D188" s="3" t="s">
        <v>109</v>
      </c>
      <c r="E188" s="3">
        <f>INDEX([1]group_data_final!D:D, MATCH(VALUE(C188), [1]group_data_final!C:C, 0))</f>
        <v>762.71299999999997</v>
      </c>
      <c r="F188" s="2">
        <v>5598212</v>
      </c>
      <c r="G188" s="2">
        <v>2897467</v>
      </c>
      <c r="H188" s="2">
        <v>0.51757007420000001</v>
      </c>
      <c r="I188">
        <f t="shared" si="9"/>
        <v>3798.8955216444456</v>
      </c>
    </row>
    <row r="189" spans="1:9" ht="15.75" thickBot="1" x14ac:dyDescent="0.3">
      <c r="A189" s="2">
        <v>2569</v>
      </c>
      <c r="B189" s="2">
        <v>63200</v>
      </c>
      <c r="C189" s="2" t="str">
        <f t="shared" si="8"/>
        <v>632</v>
      </c>
      <c r="D189" s="3" t="s">
        <v>110</v>
      </c>
      <c r="E189" s="3">
        <f>INDEX([1]group_data_final!D:D, MATCH(VALUE(C189), [1]group_data_final!C:C, 0))</f>
        <v>678.73699999999997</v>
      </c>
      <c r="F189" s="2">
        <v>2580000</v>
      </c>
      <c r="G189" s="2">
        <v>2876853</v>
      </c>
      <c r="H189" s="2">
        <v>1.1150593019999999</v>
      </c>
      <c r="I189">
        <f t="shared" si="9"/>
        <v>4238.5386386774262</v>
      </c>
    </row>
    <row r="190" spans="1:9" ht="27" thickBot="1" x14ac:dyDescent="0.3">
      <c r="A190" s="2">
        <v>2569</v>
      </c>
      <c r="B190" s="2">
        <v>64200</v>
      </c>
      <c r="C190" s="2" t="str">
        <f t="shared" si="8"/>
        <v>642</v>
      </c>
      <c r="D190" s="3" t="s">
        <v>105</v>
      </c>
      <c r="E190" s="3">
        <f>INDEX([1]group_data_final!D:D, MATCH(VALUE(C190), [1]group_data_final!C:C, 0))</f>
        <v>660.03599999999994</v>
      </c>
      <c r="F190" s="2">
        <v>8242750</v>
      </c>
      <c r="G190" s="2">
        <v>2843089</v>
      </c>
      <c r="H190" s="2">
        <v>0.34491996000000003</v>
      </c>
      <c r="I190">
        <f t="shared" si="9"/>
        <v>4307.475652843179</v>
      </c>
    </row>
    <row r="191" spans="1:9" ht="15.75" thickBot="1" x14ac:dyDescent="0.3">
      <c r="A191" s="2">
        <v>2568</v>
      </c>
      <c r="B191" s="2">
        <v>33100</v>
      </c>
      <c r="C191" s="2" t="str">
        <f t="shared" si="8"/>
        <v>331</v>
      </c>
      <c r="D191" s="3" t="s">
        <v>99</v>
      </c>
      <c r="E191" s="3">
        <f>INDEX([1]group_data_final!D:D, MATCH(VALUE(C191), [1]group_data_final!C:C, 0))</f>
        <v>536.827</v>
      </c>
      <c r="F191" s="2">
        <v>7373700</v>
      </c>
      <c r="G191" s="2">
        <v>2837252</v>
      </c>
      <c r="H191" s="2">
        <v>0.38477996120000002</v>
      </c>
      <c r="I191">
        <f t="shared" si="9"/>
        <v>5285.2259666521986</v>
      </c>
    </row>
    <row r="192" spans="1:9" ht="15.75" thickBot="1" x14ac:dyDescent="0.3">
      <c r="A192" s="2">
        <v>2568</v>
      </c>
      <c r="B192" s="2">
        <v>63200</v>
      </c>
      <c r="C192" s="2" t="str">
        <f t="shared" si="8"/>
        <v>632</v>
      </c>
      <c r="D192" s="3" t="s">
        <v>110</v>
      </c>
      <c r="E192" s="3">
        <f>INDEX([1]group_data_final!D:D, MATCH(VALUE(C192), [1]group_data_final!C:C, 0))</f>
        <v>678.73699999999997</v>
      </c>
      <c r="F192" s="2">
        <v>2580000</v>
      </c>
      <c r="G192" s="2">
        <v>2831145</v>
      </c>
      <c r="H192" s="2">
        <v>1.0973430230000001</v>
      </c>
      <c r="I192">
        <f t="shared" si="9"/>
        <v>4171.1959124078994</v>
      </c>
    </row>
    <row r="193" spans="1:9" ht="15.75" thickBot="1" x14ac:dyDescent="0.3">
      <c r="A193" s="2">
        <v>2568</v>
      </c>
      <c r="B193" s="2">
        <v>63600</v>
      </c>
      <c r="C193" s="2" t="str">
        <f t="shared" si="8"/>
        <v>636</v>
      </c>
      <c r="D193" s="3" t="s">
        <v>104</v>
      </c>
      <c r="E193" s="3">
        <f>INDEX([1]group_data_final!D:D, MATCH(VALUE(C193), [1]group_data_final!C:C, 0))</f>
        <v>681.38300000000004</v>
      </c>
      <c r="F193" s="2">
        <v>4394574</v>
      </c>
      <c r="G193" s="2">
        <v>2707295</v>
      </c>
      <c r="H193" s="2">
        <v>0.61605402480000004</v>
      </c>
      <c r="I193">
        <f t="shared" si="9"/>
        <v>3973.2353169949938</v>
      </c>
    </row>
    <row r="194" spans="1:9" ht="15.75" thickBot="1" x14ac:dyDescent="0.3">
      <c r="A194" s="2">
        <v>2569</v>
      </c>
      <c r="B194" s="2">
        <v>64300</v>
      </c>
      <c r="C194" s="2" t="str">
        <f t="shared" si="8"/>
        <v>643</v>
      </c>
      <c r="D194" s="3" t="s">
        <v>106</v>
      </c>
      <c r="E194" s="3">
        <f>INDEX([1]group_data_final!D:D, MATCH(VALUE(C194), [1]group_data_final!C:C, 0))</f>
        <v>649.12</v>
      </c>
      <c r="F194" s="2">
        <v>1800000</v>
      </c>
      <c r="G194" s="2">
        <v>2700000</v>
      </c>
      <c r="H194" s="2">
        <v>1.5</v>
      </c>
      <c r="I194">
        <f t="shared" si="9"/>
        <v>4159.4774463889571</v>
      </c>
    </row>
    <row r="195" spans="1:9" ht="15.75" thickBot="1" x14ac:dyDescent="0.3">
      <c r="A195" s="2">
        <v>2569</v>
      </c>
      <c r="B195" s="2">
        <v>31800</v>
      </c>
      <c r="C195" s="2" t="str">
        <f t="shared" si="8"/>
        <v>318</v>
      </c>
      <c r="D195" s="3" t="s">
        <v>80</v>
      </c>
      <c r="E195" s="3">
        <f>INDEX([1]group_data_final!D:D, MATCH(VALUE(C195), [1]group_data_final!C:C, 0))</f>
        <v>518.55200000000002</v>
      </c>
      <c r="F195" s="2">
        <v>4718360</v>
      </c>
      <c r="G195" s="2">
        <v>2642305</v>
      </c>
      <c r="H195" s="2">
        <v>0.56000495939999995</v>
      </c>
      <c r="I195">
        <f t="shared" si="9"/>
        <v>5095.5449019577591</v>
      </c>
    </row>
    <row r="196" spans="1:9" ht="15.75" thickBot="1" x14ac:dyDescent="0.3">
      <c r="A196" s="2">
        <v>2568</v>
      </c>
      <c r="B196" s="2">
        <v>63800</v>
      </c>
      <c r="C196" s="2" t="str">
        <f t="shared" si="8"/>
        <v>638</v>
      </c>
      <c r="D196" s="3" t="s">
        <v>109</v>
      </c>
      <c r="E196" s="3">
        <f>INDEX([1]group_data_final!D:D, MATCH(VALUE(C196), [1]group_data_final!C:C, 0))</f>
        <v>762.71299999999997</v>
      </c>
      <c r="F196" s="2">
        <v>4642897</v>
      </c>
      <c r="G196" s="2">
        <v>2533302</v>
      </c>
      <c r="H196" s="2">
        <v>0.54562959290000002</v>
      </c>
      <c r="I196">
        <f t="shared" si="9"/>
        <v>3321.4354547516564</v>
      </c>
    </row>
    <row r="197" spans="1:9" ht="15.75" thickBot="1" x14ac:dyDescent="0.3">
      <c r="A197" s="2">
        <v>2569</v>
      </c>
      <c r="B197" s="2">
        <v>33100</v>
      </c>
      <c r="C197" s="2" t="str">
        <f t="shared" si="8"/>
        <v>331</v>
      </c>
      <c r="D197" s="3" t="s">
        <v>99</v>
      </c>
      <c r="E197" s="3">
        <f>INDEX([1]group_data_final!D:D, MATCH(VALUE(C197), [1]group_data_final!C:C, 0))</f>
        <v>536.827</v>
      </c>
      <c r="F197" s="2">
        <v>6171200</v>
      </c>
      <c r="G197" s="2">
        <v>2492828</v>
      </c>
      <c r="H197" s="2">
        <v>0.40394542389999999</v>
      </c>
      <c r="I197">
        <f t="shared" si="9"/>
        <v>4643.633796362702</v>
      </c>
    </row>
    <row r="198" spans="1:9" ht="15.75" thickBot="1" x14ac:dyDescent="0.3">
      <c r="A198" s="2">
        <v>2569</v>
      </c>
      <c r="B198" s="2">
        <v>42100</v>
      </c>
      <c r="C198" s="2" t="str">
        <f t="shared" si="8"/>
        <v>421</v>
      </c>
      <c r="D198" s="3" t="s">
        <v>89</v>
      </c>
      <c r="E198" s="3">
        <f>INDEX([1]group_data_final!D:D, MATCH(VALUE(C198), [1]group_data_final!C:C, 0))</f>
        <v>955.31600000000003</v>
      </c>
      <c r="F198" s="2">
        <v>3798705</v>
      </c>
      <c r="G198" s="2">
        <v>2229354</v>
      </c>
      <c r="H198" s="2">
        <v>0.58687210509999999</v>
      </c>
      <c r="I198">
        <f t="shared" si="9"/>
        <v>2333.629919314656</v>
      </c>
    </row>
    <row r="199" spans="1:9" ht="15.75" thickBot="1" x14ac:dyDescent="0.3">
      <c r="A199" s="2">
        <v>2569</v>
      </c>
      <c r="B199" s="2">
        <v>41100</v>
      </c>
      <c r="C199" s="2" t="str">
        <f t="shared" si="8"/>
        <v>411</v>
      </c>
      <c r="D199" s="3" t="s">
        <v>97</v>
      </c>
      <c r="E199" s="3">
        <f>INDEX([1]group_data_final!D:D, MATCH(VALUE(C199), [1]group_data_final!C:C, 0))</f>
        <v>566.44399999999996</v>
      </c>
      <c r="F199" s="2">
        <v>5000350</v>
      </c>
      <c r="G199" s="2">
        <v>2180831</v>
      </c>
      <c r="H199" s="2">
        <v>0.43613567050000002</v>
      </c>
      <c r="I199">
        <f t="shared" si="9"/>
        <v>3850.0381326309398</v>
      </c>
    </row>
    <row r="200" spans="1:9" ht="15.75" thickBot="1" x14ac:dyDescent="0.3">
      <c r="A200" s="2">
        <v>2568</v>
      </c>
      <c r="B200" s="2">
        <v>31100</v>
      </c>
      <c r="C200" s="2" t="str">
        <f t="shared" si="8"/>
        <v>311</v>
      </c>
      <c r="D200" s="3" t="s">
        <v>108</v>
      </c>
      <c r="E200" s="3">
        <f>INDEX([1]group_data_final!D:D, MATCH(VALUE(C200), [1]group_data_final!C:C, 0))</f>
        <v>718.5</v>
      </c>
      <c r="F200" s="2">
        <v>2590000</v>
      </c>
      <c r="G200" s="2">
        <v>2177500</v>
      </c>
      <c r="H200" s="2">
        <v>0.84073359069999998</v>
      </c>
      <c r="I200">
        <f t="shared" si="9"/>
        <v>3030.6193458594294</v>
      </c>
    </row>
    <row r="201" spans="1:9" ht="15.75" thickBot="1" x14ac:dyDescent="0.3">
      <c r="A201" s="2">
        <v>2569</v>
      </c>
      <c r="B201" s="2">
        <v>41900</v>
      </c>
      <c r="C201" s="2" t="str">
        <f t="shared" si="8"/>
        <v>419</v>
      </c>
      <c r="D201" s="3" t="s">
        <v>107</v>
      </c>
      <c r="E201" s="3">
        <f>INDEX([1]group_data_final!D:D, MATCH(VALUE(C201), [1]group_data_final!C:C, 0))</f>
        <v>440.09199999999998</v>
      </c>
      <c r="F201" s="2">
        <v>1176750</v>
      </c>
      <c r="G201" s="2">
        <v>1876725</v>
      </c>
      <c r="H201" s="2">
        <v>1.5948374759999999</v>
      </c>
      <c r="I201">
        <f t="shared" si="9"/>
        <v>4264.3924452160009</v>
      </c>
    </row>
    <row r="202" spans="1:9" ht="15.75" thickBot="1" x14ac:dyDescent="0.3">
      <c r="A202" s="2">
        <v>2569</v>
      </c>
      <c r="B202" s="2">
        <v>32400</v>
      </c>
      <c r="C202" s="2" t="str">
        <f t="shared" si="8"/>
        <v>324</v>
      </c>
      <c r="D202" s="3" t="s">
        <v>103</v>
      </c>
      <c r="E202" s="3">
        <f>INDEX([1]group_data_final!D:D, MATCH(VALUE(C202), [1]group_data_final!C:C, 0))</f>
        <v>603.14099999999996</v>
      </c>
      <c r="F202" s="2">
        <v>5851572</v>
      </c>
      <c r="G202" s="2">
        <v>1852577</v>
      </c>
      <c r="H202" s="2">
        <v>0.31659475440000001</v>
      </c>
      <c r="I202">
        <f t="shared" si="9"/>
        <v>3071.5487754936244</v>
      </c>
    </row>
    <row r="203" spans="1:9" ht="15.75" thickBot="1" x14ac:dyDescent="0.3">
      <c r="A203" s="2">
        <v>2569</v>
      </c>
      <c r="B203" s="2">
        <v>31100</v>
      </c>
      <c r="C203" s="2" t="str">
        <f t="shared" si="8"/>
        <v>311</v>
      </c>
      <c r="D203" s="3" t="s">
        <v>108</v>
      </c>
      <c r="E203" s="3">
        <f>INDEX([1]group_data_final!D:D, MATCH(VALUE(C203), [1]group_data_final!C:C, 0))</f>
        <v>718.5</v>
      </c>
      <c r="F203" s="2">
        <v>3384792</v>
      </c>
      <c r="G203" s="2">
        <v>1795000</v>
      </c>
      <c r="H203" s="2">
        <v>0.53031323640000005</v>
      </c>
      <c r="I203">
        <f t="shared" si="9"/>
        <v>2498.2602644398053</v>
      </c>
    </row>
    <row r="204" spans="1:9" ht="15.75" thickBot="1" x14ac:dyDescent="0.3">
      <c r="A204" s="2">
        <v>2569</v>
      </c>
      <c r="B204" s="2">
        <v>63600</v>
      </c>
      <c r="C204" s="2" t="str">
        <f t="shared" si="8"/>
        <v>636</v>
      </c>
      <c r="D204" s="3" t="s">
        <v>104</v>
      </c>
      <c r="E204" s="3">
        <f>INDEX([1]group_data_final!D:D, MATCH(VALUE(C204), [1]group_data_final!C:C, 0))</f>
        <v>681.38300000000004</v>
      </c>
      <c r="F204" s="2">
        <v>2438500</v>
      </c>
      <c r="G204" s="2">
        <v>1597049</v>
      </c>
      <c r="H204" s="2">
        <v>0.65493090009999999</v>
      </c>
      <c r="I204">
        <f t="shared" si="9"/>
        <v>2343.8345247826846</v>
      </c>
    </row>
    <row r="205" spans="1:9" ht="15.75" thickBot="1" x14ac:dyDescent="0.3">
      <c r="A205" s="2">
        <v>2568</v>
      </c>
      <c r="B205" s="2">
        <v>52700</v>
      </c>
      <c r="C205" s="2" t="str">
        <f t="shared" si="8"/>
        <v>527</v>
      </c>
      <c r="D205" s="3" t="s">
        <v>112</v>
      </c>
      <c r="E205" s="3">
        <f>INDEX([1]group_data_final!D:D, MATCH(VALUE(C205), [1]group_data_final!C:C, 0))</f>
        <v>757.51199999999994</v>
      </c>
      <c r="F205" s="2">
        <v>1808026</v>
      </c>
      <c r="G205" s="2">
        <v>1192360</v>
      </c>
      <c r="H205" s="2">
        <v>0.65948166669999997</v>
      </c>
      <c r="I205">
        <f t="shared" si="9"/>
        <v>1574.0476718520631</v>
      </c>
    </row>
    <row r="206" spans="1:9" ht="15.75" thickBot="1" x14ac:dyDescent="0.3">
      <c r="A206" s="2">
        <v>2569</v>
      </c>
      <c r="B206" s="2">
        <v>41800</v>
      </c>
      <c r="C206" s="2" t="str">
        <f t="shared" si="8"/>
        <v>418</v>
      </c>
      <c r="D206" s="3" t="s">
        <v>111</v>
      </c>
      <c r="E206" s="3">
        <f>INDEX([1]group_data_final!D:D, MATCH(VALUE(C206), [1]group_data_final!C:C, 0))</f>
        <v>563.48900000000003</v>
      </c>
      <c r="F206" s="2">
        <v>841718</v>
      </c>
      <c r="G206" s="2">
        <v>1007638</v>
      </c>
      <c r="H206" s="2">
        <v>1.1971206510000001</v>
      </c>
      <c r="I206">
        <f t="shared" si="9"/>
        <v>1788.2123697179536</v>
      </c>
    </row>
    <row r="207" spans="1:9" ht="15.75" thickBot="1" x14ac:dyDescent="0.3">
      <c r="A207" s="2">
        <v>2568</v>
      </c>
      <c r="B207" s="2">
        <v>41800</v>
      </c>
      <c r="C207" s="2" t="str">
        <f t="shared" si="8"/>
        <v>418</v>
      </c>
      <c r="D207" s="3" t="s">
        <v>111</v>
      </c>
      <c r="E207" s="3">
        <f>INDEX([1]group_data_final!D:D, MATCH(VALUE(C207), [1]group_data_final!C:C, 0))</f>
        <v>563.48900000000003</v>
      </c>
      <c r="F207" s="2">
        <v>848774</v>
      </c>
      <c r="G207" s="2">
        <v>995691.7</v>
      </c>
      <c r="H207" s="2">
        <v>1.1730940160000001</v>
      </c>
      <c r="I207">
        <f t="shared" si="9"/>
        <v>1767.0117784020626</v>
      </c>
    </row>
  </sheetData>
  <autoFilter ref="A1:I207" xr:uid="{85772C34-90F7-4FF6-BA3E-3023EBA102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Inthat Limkatanyoo</dc:creator>
  <cp:lastModifiedBy>Inthat Limkatanyoo</cp:lastModifiedBy>
  <dcterms:created xsi:type="dcterms:W3CDTF">2026-05-12T06:40:42Z</dcterms:created>
  <dcterms:modified xsi:type="dcterms:W3CDTF">2026-06-24T03:21:53Z</dcterms:modified>
</cp:coreProperties>
</file>